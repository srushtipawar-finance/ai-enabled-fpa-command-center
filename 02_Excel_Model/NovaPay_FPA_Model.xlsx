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d06deac22c40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4edb27b5664841c8"/>
    <x:sheet xmlns:r="http://schemas.openxmlformats.org/officeDocument/2006/relationships" name="Revenue_Data" sheetId="2" r:id="R770a988d72f44c8e"/>
    <x:sheet xmlns:r="http://schemas.openxmlformats.org/officeDocument/2006/relationships" name="Customers" sheetId="3" r:id="Rbb7f22165ac54233"/>
    <x:sheet xmlns:r="http://schemas.openxmlformats.org/officeDocument/2006/relationships" name="Date_Table" sheetId="4" r:id="R9ef650b1bb71483e"/>
    <x:sheet xmlns:r="http://schemas.openxmlformats.org/officeDocument/2006/relationships" name="Expense_Data" sheetId="5" r:id="R3291900a71bb40d5"/>
    <x:sheet xmlns:r="http://schemas.openxmlformats.org/officeDocument/2006/relationships" name="Budget_Data" sheetId="6" r:id="R1dda5beb26ed44d1"/>
    <x:sheet xmlns:r="http://schemas.openxmlformats.org/officeDocument/2006/relationships" name="KPI_Data" sheetId="7" r:id="Ra5ee098c2e214816"/>
    <x:sheet xmlns:r="http://schemas.openxmlformats.org/officeDocument/2006/relationships" name="Scenario_Inputs" sheetId="8" r:id="R979d10f7eda44f53"/>
    <x:sheet xmlns:r="http://schemas.openxmlformats.org/officeDocument/2006/relationships" name="Monthly_Summary" sheetId="9" r:id="R44e0f44bc24c4b82"/>
    <x:sheet xmlns:r="http://schemas.openxmlformats.org/officeDocument/2006/relationships" name="Budget_vs_Actual" sheetId="10" r:id="R51d0d4d438be4db8"/>
    <x:sheet xmlns:r="http://schemas.openxmlformats.org/officeDocument/2006/relationships" name="P&amp;L_Model" sheetId="11" r:id="R2a64a53fba104923"/>
    <x:sheet xmlns:r="http://schemas.openxmlformats.org/officeDocument/2006/relationships" name="Scenario_Analysis" sheetId="12" r:id="R8c9bf57ed0be4155"/>
    <x:sheet xmlns:r="http://schemas.openxmlformats.org/officeDocument/2006/relationships" name="CFO_Summary" sheetId="13" r:id="R4b20ec7410454d5a"/>
  </x:sheets>
</x:workbook>
</file>

<file path=xl/sharedStrings.xml><?xml version="1.0" encoding="utf-8"?>
<x:sst xmlns:x="http://schemas.openxmlformats.org/spreadsheetml/2006/main">
  <x:si>
    <x:t xml:space="preserve">NovaPay FP&amp;A Model
Purpose:
This Excel model analyzes monthly revenue, expenses, budget vs actual performance, EBITDA, churn, CAC, and scenario planning for a fictional fintech subscription business.
Data Sources:
Revenue_Data
Expense_Data
Budget_Data
KPI_Data
Scenario_Inputs
Main Outputs:
Monthly Summary
Budget vs Actual Analysis
P&amp;L Model
Scenario Analysis
CFO Summary</x:t>
  </x:si>
  <x:si>
    <x:t xml:space="preserve">Month</x:t>
  </x:si>
  <x:si>
    <x:t xml:space="preserve">Month_Label</x:t>
  </x:si>
  <x:si>
    <x:t xml:space="preserve">Month_Number</x:t>
  </x:si>
  <x:si>
    <x:t xml:space="preserve">Customer_ID</x:t>
  </x:si>
  <x:si>
    <x:t xml:space="preserve">Subscription_Revenue</x:t>
  </x:si>
  <x:si>
    <x:t xml:space="preserve">Transaction_Volume</x:t>
  </x:si>
  <x:si>
    <x:t xml:space="preserve">Transaction_Fee_Revenue</x:t>
  </x:si>
  <x:si>
    <x:t xml:space="preserve">Premium_Analytics_Revenue</x:t>
  </x:si>
  <x:si>
    <x:t xml:space="preserve">Setup_Fee_Revenue</x:t>
  </x:si>
  <x:si>
    <x:t xml:space="preserve">Total_Revenue</x:t>
  </x:si>
  <x:si>
    <x:t xml:space="preserve">C001</x:t>
  </x:si>
  <x:si>
    <x:t xml:space="preserve">C002</x:t>
  </x:si>
  <x:si>
    <x:t xml:space="preserve">C003</x:t>
  </x:si>
  <x:si>
    <x:t xml:space="preserve">C004</x:t>
  </x:si>
  <x:si>
    <x:t xml:space="preserve">C005</x:t>
  </x:si>
  <x:si>
    <x:t xml:space="preserve">C006</x:t>
  </x:si>
  <x:si>
    <x:t xml:space="preserve">Customer_Name</x:t>
  </x:si>
  <x:si>
    <x:t xml:space="preserve">Acme Corp</x:t>
  </x:si>
  <x:si>
    <x:t xml:space="preserve">TechStart Ltd</x:t>
  </x:si>
  <x:si>
    <x:t xml:space="preserve">BluePeak Systems</x:t>
  </x:si>
  <x:si>
    <x:t xml:space="preserve">Nova Retail Group</x:t>
  </x:si>
  <x:si>
    <x:t xml:space="preserve">FinEdge Partners</x:t>
  </x:si>
  <x:si>
    <x:t xml:space="preserve">CloudBridge Inc</x:t>
  </x:si>
  <x:si>
    <x:t xml:space="preserve">Month_Date</x:t>
  </x:si>
  <x:si>
    <x:t xml:space="preserve">Month_Year</x:t>
  </x:si>
  <x:si>
    <x:t xml:space="preserve">Department</x:t>
  </x:si>
  <x:si>
    <x:t xml:space="preserve">Expense_Category</x:t>
  </x:si>
  <x:si>
    <x:t xml:space="preserve">Budget_Expense</x:t>
  </x:si>
  <x:si>
    <x:t xml:space="preserve">Actual_Expense</x:t>
  </x:si>
  <x:si>
    <x:t xml:space="preserve">Vendor</x:t>
  </x:si>
  <x:si>
    <x:t xml:space="preserve">Cost_Type</x:t>
  </x:si>
  <x:si>
    <x:t xml:space="preserve">Sales</x:t>
  </x:si>
  <x:si>
    <x:t xml:space="preserve">Payroll</x:t>
  </x:si>
  <x:si>
    <x:t xml:space="preserve">Internal Payroll</x:t>
  </x:si>
  <x:si>
    <x:t xml:space="preserve">Fixed</x:t>
  </x:si>
  <x:si>
    <x:t xml:space="preserve">Marketing</x:t>
  </x:si>
  <x:si>
    <x:t xml:space="preserve">Marketing Spend</x:t>
  </x:si>
  <x:si>
    <x:t xml:space="preserve">Google Ads</x:t>
  </x:si>
  <x:si>
    <x:t xml:space="preserve">Variable</x:t>
  </x:si>
  <x:si>
    <x:t xml:space="preserve">Product</x:t>
  </x:si>
  <x:si>
    <x:t xml:space="preserve">Cloud Hosting</x:t>
  </x:si>
  <x:si>
    <x:t xml:space="preserve">AWS</x:t>
  </x:si>
  <x:si>
    <x:t xml:space="preserve">Customer Support</x:t>
  </x:si>
  <x:si>
    <x:t xml:space="preserve">Customer Support Tools</x:t>
  </x:si>
  <x:si>
    <x:t xml:space="preserve">Zendesk</x:t>
  </x:si>
  <x:si>
    <x:t xml:space="preserve">Operations</x:t>
  </x:si>
  <x:si>
    <x:t xml:space="preserve">Software</x:t>
  </x:si>
  <x:si>
    <x:t xml:space="preserve">Salesforce</x:t>
  </x:si>
  <x:si>
    <x:t xml:space="preserve">G&amp;A</x:t>
  </x:si>
  <x:si>
    <x:t xml:space="preserve">Rent</x:t>
  </x:si>
  <x:si>
    <x:t xml:space="preserve">WeWork</x:t>
  </x:si>
  <x:si>
    <x:t xml:space="preserve">Professional Fees</x:t>
  </x:si>
  <x:si>
    <x:t xml:space="preserve">Deloitte</x:t>
  </x:si>
  <x:si>
    <x:t xml:space="preserve">Budget_Subscription_Revenue</x:t>
  </x:si>
  <x:si>
    <x:t xml:space="preserve">Budget_Transaction_Fee_Revenue</x:t>
  </x:si>
  <x:si>
    <x:t xml:space="preserve">Budget_Premium_Revenue</x:t>
  </x:si>
  <x:si>
    <x:t xml:space="preserve">Budget_Setup_Fee_Revenue</x:t>
  </x:si>
  <x:si>
    <x:t xml:space="preserve">Budget_Total_Revenue</x:t>
  </x:si>
  <x:si>
    <x:t xml:space="preserve">Budget_COGS</x:t>
  </x:si>
  <x:si>
    <x:t xml:space="preserve">Budget_Operating_Expenses</x:t>
  </x:si>
  <x:si>
    <x:t xml:space="preserve">Budget_EBITDA</x:t>
  </x:si>
  <x:si>
    <x:t xml:space="preserve">Active_Customers</x:t>
  </x:si>
  <x:si>
    <x:t xml:space="preserve">New_Customers</x:t>
  </x:si>
  <x:si>
    <x:t xml:space="preserve">Lost_Customers</x:t>
  </x:si>
  <x:si>
    <x:t xml:space="preserve">Churn_Rate</x:t>
  </x:si>
  <x:si>
    <x:t xml:space="preserve">Average_Revenue_Per_Customer</x:t>
  </x:si>
  <x:si>
    <x:t xml:space="preserve">CAC</x:t>
  </x:si>
  <x:si>
    <x:t xml:space="preserve">Gross_Margin</x:t>
  </x:si>
  <x:si>
    <x:t xml:space="preserve">Net_Revenue_Retention</x:t>
  </x:si>
  <x:si>
    <x:t xml:space="preserve">Scenario</x:t>
  </x:si>
  <x:si>
    <x:t xml:space="preserve">Customer_Growth_Rate</x:t>
  </x:si>
  <x:si>
    <x:t xml:space="preserve">Transaction_Volume_Growth</x:t>
  </x:si>
  <x:si>
    <x:t xml:space="preserve">Pricing_Increase</x:t>
  </x:si>
  <x:si>
    <x:t xml:space="preserve">CAC_Change</x:t>
  </x:si>
  <x:si>
    <x:t xml:space="preserve">Payroll_Inflation</x:t>
  </x:si>
  <x:si>
    <x:t xml:space="preserve">Marketing_Spend_Change</x:t>
  </x:si>
  <x:si>
    <x:t xml:space="preserve">Base Case</x:t>
  </x:si>
  <x:si>
    <x:t xml:space="preserve">Upside Case</x:t>
  </x:si>
  <x:si>
    <x:t xml:space="preserve">Downside Case</x:t>
  </x:si>
  <x:si>
    <x:t xml:space="preserve">Actual_Revenue</x:t>
  </x:si>
  <x:si>
    <x:t xml:space="preserve">Actual_Expenses</x:t>
  </x:si>
  <x:si>
    <x:t xml:space="preserve">Actual_COGS</x:t>
  </x:si>
  <x:si>
    <x:t xml:space="preserve">Gross_Profit</x:t>
  </x:si>
  <x:si>
    <x:t xml:space="preserve">EBITDA</x:t>
  </x:si>
  <x:si>
    <x:t xml:space="preserve">EBITDA_Margin</x:t>
  </x:si>
  <x:si>
    <x:t xml:space="preserve">Budget_Revenue</x:t>
  </x:si>
  <x:si>
    <x:t xml:space="preserve">Revenue_Variance</x:t>
  </x:si>
  <x:si>
    <x:t xml:space="preserve">Revenue_Variance_%</x:t>
  </x:si>
  <x:si>
    <x:t xml:space="preserve">Budget_Expenses</x:t>
  </x:si>
  <x:si>
    <x:t xml:space="preserve">Expense_Variance</x:t>
  </x:si>
  <x:si>
    <x:t xml:space="preserve">Expense_Variance_%</x:t>
  </x:si>
  <x:si>
    <x:t xml:space="preserve">Actual_EBITDA</x:t>
  </x:si>
  <x:si>
    <x:t xml:space="preserve">EBITDA_Variance</x:t>
  </x:si>
  <x:si>
    <x:t xml:space="preserve">EBITDA_Variance_%</x:t>
  </x:si>
  <x:si>
    <x:t xml:space="preserve">Metric</x:t>
  </x:si>
  <x:si>
    <x:t xml:space="preserve">Revenue</x:t>
  </x:si>
  <x:si>
    <x:t xml:space="preserve">COGS</x:t>
  </x:si>
  <x:si>
    <x:t xml:space="preserve">Gross Profit</x:t>
  </x:si>
  <x:si>
    <x:t xml:space="preserve">Gross Margin %</x:t>
  </x:si>
  <x:si>
    <x:t xml:space="preserve">Operating Expenses</x:t>
  </x:si>
  <x:si>
    <x:t xml:space="preserve">EBITDA Margin %</x:t>
  </x:si>
  <x:si>
    <x:t xml:space="preserve">NovaPay Analytics - Scenario Analysis</x:t>
  </x:si>
  <x:si>
    <x:t xml:space="preserve">Revenue_Growth</x:t>
  </x:si>
  <x:si>
    <x:t xml:space="preserve">Forecast_Revenue</x:t>
  </x:si>
  <x:si>
    <x:t xml:space="preserve">Forecast_EBITDA</x:t>
  </x:si>
  <x:si>
    <x:t xml:space="preserve">Scenario Interpretation</x:t>
  </x:si>
  <x:si>
    <x:t xml:space="preserve">Base Case:</x:t>
  </x:si>
  <x:si>
    <x:t xml:space="preserve">Revenue improves under normal growth assumptions, but EBITDA remains dependent on expense discipline.</x:t>
  </x:si>
  <x:si>
    <x:t xml:space="preserve">Upside Case:</x:t>
  </x:si>
  <x:si>
    <x:t xml:space="preserve">Higher customer growth and lower churn improve the path toward profitability.</x:t>
  </x:si>
  <x:si>
    <x:t xml:space="preserve">Downside Case:</x:t>
  </x:si>
  <x:si>
    <x:t xml:space="preserve">Higher churn, higher CAC, and payroll inflation create additional pressure on EBITDA and cash runway.</x:t>
  </x:si>
  <x:si>
    <x:t xml:space="preserve">NovaPay Analytics - CFO Summary</x:t>
  </x:si>
  <x:si>
    <x:t xml:space="preserve">Latest Month:</x:t>
  </x:si>
  <x:si>
    <x:t xml:space="preserve">Key Metrics</x:t>
  </x:si>
  <x:si>
    <x:t xml:space="preserve">Scenario Summary</x:t>
  </x:si>
  <x:si>
    <x:t xml:space="preserve">Total Revenue</x:t>
  </x:si>
  <x:si>
    <x:t xml:space="preserve">Base Case Forecast Revenue</x:t>
  </x:si>
  <x:si>
    <x:t xml:space="preserve">Gross Margin</x:t>
  </x:si>
  <x:si>
    <x:t xml:space="preserve">Upside Case Forecast Revenue</x:t>
  </x:si>
  <x:si>
    <x:t xml:space="preserve">Downside Case Forecast Revenue</x:t>
  </x:si>
  <x:si>
    <x:t xml:space="preserve">EBITDA Margin</x:t>
  </x:si>
  <x:si>
    <x:t xml:space="preserve">Active Customers</x:t>
  </x:si>
  <x:si>
    <x:t xml:space="preserve">Churn Rate</x:t>
  </x:si>
  <x:si>
    <x:t xml:space="preserve">Key Insights</x:t>
  </x:si>
  <x:si>
    <x:t xml:space="preserve">1. Revenue is growing, but profitability remains negative due to high operating expenses.</x:t>
  </x:si>
  <x:si>
    <x:t xml:space="preserve">2. Marketing spend and cloud hosting are major cost pressure areas.</x:t>
  </x:si>
  <x:si>
    <x:t xml:space="preserve">3. Churn increased in June, creating risk for recurring revenue quality.</x:t>
  </x:si>
  <x:si>
    <x:t xml:space="preserve">4. Scenario planning shows profitability depends on customer growth, CAC control, and expense discipline.</x:t>
  </x:si>
  <x:si>
    <x:t xml:space="preserve">Recommended Actions</x:t>
  </x:si>
  <x:si>
    <x:t xml:space="preserve">1. Reduce high-variance marketing spend and track campaign-level ROI.</x:t>
  </x:si>
  <x:si>
    <x:t xml:space="preserve">2. Monitor churn by customer segment and create retention actions for at-risk customers.</x:t>
  </x:si>
  <x:si>
    <x:t xml:space="preserve">3. Improve conversion from Basic to Premium plan to increase recurring revenue quality.</x:t>
  </x:si>
  <x:si>
    <x:t xml:space="preserve">4. Control cloud hosting costs as transaction volume grows.</x:t>
  </x:si>
</x:sst>
</file>

<file path=xl/styles.xml><?xml version="1.0" encoding="utf-8"?>
<x:styleSheet xmlns:x="http://schemas.openxmlformats.org/spreadsheetml/2006/main">
  <x:numFmts count="4">
    <x:numFmt numFmtId="44" formatCode="_(&quot;$&quot;* #,##0.00_);_(&quot;$&quot;* \(#,##0.00\);_(&quot;$&quot;* &quot;-&quot;??_);_(@_)"/>
    <x:numFmt numFmtId="200" formatCode="m/d/yy"/>
    <x:numFmt numFmtId="201" formatCode="0"/>
    <x:numFmt numFmtId="202" formatCode="mmm-yy"/>
  </x:numFmts>
  <x:fonts count="6">
    <x:font>
      <x:sz val="11"/>
      <x:color theme="1"/>
      <x:name val="Aptos Narrow"/>
    </x:font>
    <x:font>
      <x:b/>
      <x:sz val="11"/>
      <x:color theme="1"/>
      <x:name val="Aptos Narrow"/>
    </x:font>
    <x:font>
      <x:b/>
      <x:sz val="12"/>
      <x:color theme="1"/>
      <x:name val="Aptos Narrow"/>
    </x:font>
    <x:font>
      <x:b/>
      <x:sz val="16"/>
      <x:color theme="1"/>
      <x:name val="Aptos Narrow"/>
    </x:font>
    <x:font>
      <x:sz val="8"/>
      <x:name val="Aptos Narrow"/>
    </x:font>
    <x:font>
      <x:sz val="10"/>
      <x:color theme="1"/>
      <x:name val="Arial Unicode MS"/>
    </x:font>
  </x:fonts>
  <x:fills count="2">
    <x:fill>
      <x:patternFill patternType="none"/>
    </x:fill>
    <x:fill>
      <x:patternFill patternType="gray125"/>
    </x:fill>
  </x:fills>
  <x:borders count="44">
    <x:border/>
    <x:border>
      <x:left style="medium">
        <x:color indexed="64"/>
      </x:left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left style="medium">
        <x:color indexed="64"/>
      </x:left>
    </x:border>
    <x:border>
      <x:right style="medium">
        <x:color indexed="64"/>
      </x:right>
    </x:border>
    <x:border>
      <x:left style="medium">
        <x:color indexed="64"/>
      </x:left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right style="medium">
        <x:color indexed="64"/>
      </x:right>
      <x:top style="medium">
        <x:color indexed="64"/>
      </x:top>
    </x:border>
    <x:border>
      <x:left style="medium">
        <x:color indexed="64"/>
      </x:left>
      <x:top style="medium">
        <x:color indexed="64"/>
      </x:top>
      <x:bottom style="medium">
        <x:color indexed="64"/>
      </x:bottom>
    </x:border>
    <x:border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bottom style="medium">
        <x:color indexed="64"/>
      </x:bottom>
    </x:border>
    <x:border>
      <x:top style="medium">
        <x:color indexed="64"/>
      </x:top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</x:border>
    <x:border/>
    <x:border>
      <x:right style="medium">
        <x:color indexed="64"/>
      </x:right>
    </x:border>
    <x:border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top style="medium">
        <x:color indexed="64"/>
      </x:top>
      <x:bottom style="medium">
        <x:color indexed="64"/>
      </x:bottom>
    </x:border>
    <x:border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left style="medium">
        <x:color indexed="64"/>
      </x:left>
    </x:border>
    <x:border>
      <x:left style="medium">
        <x:color indexed="64"/>
      </x:left>
      <x:bottom style="medium">
        <x:color indexed="64"/>
      </x:bottom>
    </x:border>
    <x:border>
      <x:bottom style="medium">
        <x:color indexed="64"/>
      </x:bottom>
    </x:border>
    <x:border>
      <x:left style="medium">
        <x:color indexed="64"/>
      </x:left>
      <x:right style="medium">
        <x:color indexed="64"/>
      </x:right>
      <x:top style="medium">
        <x:color indexed="64"/>
      </x:top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</x:border>
    <x:border>
      <x:left style="medium">
        <x:color indexed="64"/>
      </x:left>
      <x:top style="medium">
        <x:color indexed="64"/>
      </x:top>
    </x:border>
    <x:border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</x:borders>
  <x:cellStyleXfs count="1">
    <x:xf numFmtId="0" fontId="0" fillId="0" borderId="0"/>
  </x:cellStyleXfs>
  <x:cellXfs count="148">
    <x:xf numFmtId="0" fontId="0" fillId="0" borderId="0" xfId="0"/>
    <x:xf numFmtId="14" fontId="0" fillId="0" borderId="0" xfId="0" applyNumberFormat="1"/>
    <x:xf numFmtId="0" fontId="0" fillId="0" borderId="0" xfId="0" applyAlignment="1">
      <x:alignment vertical="center" wrapText="1"/>
    </x:xf>
    <x:xf numFmtId="0" fontId="0" fillId="0" borderId="0" xfId="0" applyAlignment="1">
      <x:alignment horizontal="left"/>
    </x:xf>
    <x:xf numFmtId="0" fontId="1" fillId="0" borderId="0" xfId="0" applyFont="1" applyAlignment="1">
      <x:alignment horizontal="center" vertical="center" wrapText="1"/>
    </x:xf>
    <x:xf numFmtId="0" fontId="0" fillId="0" borderId="4" xfId="0" applyBorder="1"/>
    <x:xf numFmtId="0" fontId="0" fillId="0" borderId="6" xfId="0" applyBorder="1"/>
    <x:xf numFmtId="0" fontId="0" fillId="0" borderId="8" xfId="0" applyBorder="1"/>
    <x:xf numFmtId="0" fontId="0" fillId="0" borderId="9" xfId="0" applyBorder="1"/>
    <x:xf numFmtId="0" fontId="0" fillId="0" borderId="10" xfId="0" applyBorder="1"/>
    <x:xf numFmtId="14" fontId="0" fillId="0" borderId="3" xfId="0" applyNumberFormat="1" applyBorder="1"/>
    <x:xf numFmtId="14" fontId="0" fillId="0" borderId="5" xfId="0" applyNumberFormat="1" applyBorder="1"/>
    <x:xf numFmtId="0" fontId="0" fillId="0" borderId="11" xfId="0" applyBorder="1"/>
    <x:xf numFmtId="0" fontId="0" fillId="0" borderId="3" xfId="0" applyBorder="1"/>
    <x:xf numFmtId="44" fontId="0" fillId="0" borderId="0" xfId="0" applyNumberFormat="1"/>
    <x:xf numFmtId="44" fontId="0" fillId="0" borderId="4" xfId="0" applyNumberFormat="1" applyBorder="1"/>
    <x:xf numFmtId="10" fontId="0" fillId="0" borderId="0" xfId="0" applyNumberFormat="1"/>
    <x:xf numFmtId="10" fontId="0" fillId="0" borderId="4" xfId="0" applyNumberFormat="1" applyBorder="1"/>
    <x:xf numFmtId="0" fontId="0" fillId="0" borderId="5" xfId="0" applyBorder="1"/>
    <x:xf numFmtId="10" fontId="0" fillId="0" borderId="11" xfId="0" applyNumberFormat="1" applyBorder="1"/>
    <x:xf numFmtId="10" fontId="0" fillId="0" borderId="6" xfId="0" applyNumberFormat="1" applyBorder="1"/>
    <x:xf numFmtId="17" fontId="0" fillId="0" borderId="9" xfId="0" applyNumberFormat="1" applyBorder="1"/>
    <x:xf numFmtId="17" fontId="0" fillId="0" borderId="10" xfId="0" applyNumberFormat="1" applyBorder="1"/>
    <x:xf numFmtId="0" fontId="0" fillId="0" borderId="9" xfId="0" applyBorder="1" applyAlignment="1">
      <x:alignment vertical="center" wrapText="1"/>
    </x:xf>
    <x:xf numFmtId="44" fontId="0" fillId="0" borderId="11" xfId="0" applyNumberFormat="1" applyBorder="1"/>
    <x:xf numFmtId="44" fontId="0" fillId="0" borderId="6" xfId="0" applyNumberFormat="1" applyBorder="1"/>
    <x:xf numFmtId="0" fontId="1" fillId="0" borderId="7" xfId="0" applyFont="1" applyBorder="1"/>
    <x:xf numFmtId="0" fontId="1" fillId="0" borderId="8" xfId="0" applyFont="1" applyBorder="1"/>
    <x:xf numFmtId="0" fontId="0" fillId="0" borderId="13" xfId="0" applyBorder="1" applyAlignment="1">
      <x:alignment vertical="center" wrapText="1"/>
    </x:xf>
    <x:xf numFmtId="0" fontId="0" fillId="0" borderId="14" xfId="0" applyBorder="1" applyAlignment="1">
      <x:alignment vertical="center" wrapText="1"/>
    </x:xf>
    <x:xf numFmtId="0" fontId="0" fillId="0" borderId="16" xfId="0" applyBorder="1" applyAlignment="1">
      <x:alignment vertical="center" wrapText="1"/>
    </x:xf>
    <x:xf numFmtId="10" fontId="0" fillId="0" borderId="17" xfId="0" applyNumberFormat="1" applyBorder="1" applyAlignment="1">
      <x:alignment vertical="center" wrapText="1"/>
    </x:xf>
    <x:xf numFmtId="44" fontId="0" fillId="0" borderId="17" xfId="0" applyNumberFormat="1" applyBorder="1" applyAlignment="1">
      <x:alignment vertical="center" wrapText="1"/>
    </x:xf>
    <x:xf numFmtId="0" fontId="0" fillId="0" borderId="17" xfId="0" applyBorder="1" applyAlignment="1">
      <x:alignment vertical="center" wrapText="1"/>
    </x:xf>
    <x:xf numFmtId="0" fontId="0" fillId="0" borderId="18" xfId="0" applyBorder="1" applyAlignment="1">
      <x:alignment vertical="center" wrapText="1"/>
    </x:xf>
    <x:xf numFmtId="44" fontId="0" fillId="0" borderId="19" xfId="0" applyNumberFormat="1" applyBorder="1" applyAlignment="1">
      <x:alignment vertical="center" wrapText="1"/>
    </x:xf>
    <x:xf numFmtId="0" fontId="0" fillId="0" borderId="20" xfId="0" applyBorder="1" applyAlignment="1">
      <x:alignment vertical="center" wrapText="1"/>
    </x:xf>
    <x:xf numFmtId="44" fontId="0" fillId="0" borderId="15" xfId="0" applyNumberFormat="1" applyBorder="1" applyAlignment="1">
      <x:alignment horizontal="center" vertical="center" wrapText="1"/>
    </x:xf>
    <x:xf numFmtId="10" fontId="0" fillId="0" borderId="0" xfId="0" applyNumberFormat="1" applyAlignment="1">
      <x:alignment vertical="center" wrapText="1"/>
    </x:xf>
    <x:xf numFmtId="10" fontId="0" fillId="0" borderId="11" xfId="0" applyNumberFormat="1" applyBorder="1" applyAlignment="1">
      <x:alignment vertical="center" wrapText="1"/>
    </x:xf>
    <x:xf numFmtId="44" fontId="0" fillId="0" borderId="20" xfId="0" applyNumberFormat="1" applyBorder="1"/>
    <x:xf numFmtId="44" fontId="0" fillId="0" borderId="13" xfId="0" applyNumberFormat="1" applyBorder="1"/>
    <x:xf numFmtId="0" fontId="1" fillId="0" borderId="21" xfId="0" applyFont="1" applyBorder="1"/>
    <x:xf numFmtId="0" fontId="3" fillId="0" borderId="8" xfId="0" applyFont="1" applyBorder="1" applyAlignment="1">
      <x:alignment horizontal="center"/>
    </x:xf>
    <x:xf numFmtId="0" fontId="3" fillId="0" borderId="9" xfId="0" applyFont="1" applyBorder="1" applyAlignment="1">
      <x:alignment horizontal="center"/>
    </x:xf>
    <x:xf numFmtId="0" fontId="3" fillId="0" borderId="10" xfId="0" applyFont="1" applyBorder="1" applyAlignment="1">
      <x:alignment horizontal="center"/>
    </x:xf>
    <x:xf numFmtId="0" fontId="0" fillId="0" borderId="1" xfId="0" applyBorder="1" applyAlignment="1">
      <x:alignment horizontal="left"/>
    </x:xf>
    <x:xf numFmtId="0" fontId="0" fillId="0" borderId="12" xfId="0" applyBorder="1" applyAlignment="1">
      <x:alignment horizontal="left"/>
    </x:xf>
    <x:xf numFmtId="0" fontId="0" fillId="0" borderId="2" xfId="0" applyBorder="1" applyAlignment="1">
      <x:alignment horizontal="left"/>
    </x:xf>
    <x:xf numFmtId="0" fontId="0" fillId="0" borderId="9" xfId="0" applyBorder="1" applyAlignment="1">
      <x:alignment horizontal="left"/>
    </x:xf>
    <x:xf numFmtId="0" fontId="0" fillId="0" borderId="10" xfId="0" applyBorder="1" applyAlignment="1">
      <x:alignment horizontal="left"/>
    </x:xf>
    <x:xf numFmtId="0" fontId="0" fillId="0" borderId="0" xfId="0" applyAlignment="1">
      <x:alignment horizontal="center" wrapText="1"/>
    </x:xf>
    <x:xf numFmtId="0" fontId="0" fillId="0" borderId="13" xfId="0" applyBorder="1" applyAlignment="1">
      <x:alignment horizontal="center" vertical="center" wrapText="1"/>
    </x:xf>
    <x:xf numFmtId="0" fontId="0" fillId="0" borderId="13" xfId="0" applyBorder="1" applyAlignment="1">
      <x:alignment horizontal="center"/>
    </x:xf>
    <x:xf numFmtId="0" fontId="0" fillId="0" borderId="18" xfId="0" applyBorder="1" applyAlignment="1">
      <x:alignment horizontal="center" vertical="center" wrapText="1"/>
    </x:xf>
    <x:xf numFmtId="0" fontId="0" fillId="0" borderId="19" xfId="0" applyBorder="1" applyAlignment="1">
      <x:alignment horizontal="center" vertical="center" wrapText="1"/>
    </x:xf>
    <x:xf numFmtId="0" fontId="0" fillId="0" borderId="16" xfId="0" applyBorder="1" applyAlignment="1">
      <x:alignment horizontal="center" vertical="center" wrapText="1"/>
    </x:xf>
    <x:xf numFmtId="0" fontId="0" fillId="0" borderId="17" xfId="0" applyBorder="1" applyAlignment="1">
      <x:alignment horizontal="center" vertical="center" wrapText="1"/>
    </x:xf>
    <x:xf numFmtId="0" fontId="2" fillId="0" borderId="14" xfId="0" applyFont="1" applyBorder="1" applyAlignment="1">
      <x:alignment horizontal="center"/>
    </x:xf>
    <x:xf numFmtId="0" fontId="2" fillId="0" borderId="15" xfId="0" applyFont="1" applyBorder="1" applyAlignment="1">
      <x:alignment horizontal="center"/>
    </x:xf>
    <x:xf numFmtId="0" fontId="3" fillId="0" borderId="0" xfId="0" applyFont="1" applyAlignment="1">
      <x:alignment horizontal="center"/>
    </x:xf>
    <x:xf numFmtId="0" fontId="0" fillId="0" borderId="8" xfId="0" applyBorder="1" applyAlignment="1">
      <x:alignment horizontal="center"/>
    </x:xf>
    <x:xf numFmtId="0" fontId="0" fillId="0" borderId="10" xfId="0" applyBorder="1" applyAlignment="1">
      <x:alignment horizontal="center"/>
    </x:xf>
    <x:xf numFmtId="0" fontId="0" fillId="0" borderId="0" xfId="0" applyNumberFormat="1"/>
    <x:xf numFmtId="14" fontId="0" fillId="0" borderId="0" xfId="0" applyNumberFormat="1" applyBorder="1"/>
    <x:xf numFmtId="0" fontId="0" fillId="0" borderId="9" xfId="0" applyNumberFormat="1" applyBorder="1"/>
    <x:xf numFmtId="0" fontId="0" fillId="0" borderId="0" xfId="0" applyNumberFormat="1" applyBorder="1"/>
    <x:xf numFmtId="0" fontId="5" fillId="0" borderId="0" xfId="0" applyFont="1"/>
    <x:xf numFmtId="14" fontId="0" fillId="0" borderId="0" xfId="0" applyNumberFormat="1" applyAlignment="1">
      <x:alignment vertical="center" wrapText="1"/>
    </x:xf>
    <x:xf numFmtId="0" fontId="0" fillId="0" borderId="22" xfId="0" applyNumberFormat="1" applyFont="1" applyFill="1" applyBorder="1"/>
    <x:xf numFmtId="14" fontId="0" fillId="0" borderId="22" xfId="0" applyNumberFormat="1" applyFont="1" applyFill="1" applyBorder="1"/>
    <x:xf numFmtId="0" fontId="0" fillId="0" borderId="22" xfId="0" applyNumberFormat="1" applyFont="1" applyFill="1" applyBorder="1" applyAlignment="1">
      <x:alignment vertical="center" wrapText="1"/>
    </x:xf>
    <x:xf numFmtId="0" fontId="0" fillId="0" borderId="22" xfId="0" applyNumberFormat="1" applyFont="1" applyFill="1" applyBorder="1" applyAlignment="1">
      <x:alignment horizontal="left"/>
    </x:xf>
    <x:xf numFmtId="0" fontId="1" fillId="0" borderId="22" xfId="0" applyNumberFormat="1" applyFont="1" applyFill="1" applyBorder="1" applyAlignment="1">
      <x:alignment horizontal="center" vertical="center" wrapText="1"/>
    </x:xf>
    <x:xf numFmtId="0" fontId="0" fillId="0" borderId="23" xfId="0" applyNumberFormat="1" applyFont="1" applyFill="1" applyBorder="1"/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0" borderId="26" xfId="0" applyNumberFormat="1" applyFont="1" applyFill="1" applyBorder="1"/>
    <x:xf numFmtId="0" fontId="0" fillId="0" borderId="27" xfId="0" applyNumberFormat="1" applyFont="1" applyFill="1" applyBorder="1"/>
    <x:xf numFmtId="14" fontId="0" fillId="0" borderId="28" xfId="0" applyNumberFormat="1" applyFont="1" applyFill="1" applyBorder="1"/>
    <x:xf numFmtId="14" fontId="0" fillId="0" borderId="29" xfId="0" applyNumberFormat="1" applyFont="1" applyFill="1" applyBorder="1"/>
    <x:xf numFmtId="0" fontId="0" fillId="0" borderId="30" xfId="0" applyNumberFormat="1" applyFont="1" applyFill="1" applyBorder="1"/>
    <x:xf numFmtId="0" fontId="0" fillId="0" borderId="28" xfId="0" applyNumberFormat="1" applyFont="1" applyFill="1" applyBorder="1"/>
    <x:xf numFmtId="44" fontId="0" fillId="0" borderId="22" xfId="0" applyNumberFormat="1" applyFont="1" applyFill="1" applyBorder="1"/>
    <x:xf numFmtId="44" fontId="0" fillId="0" borderId="23" xfId="0" applyNumberFormat="1" applyFont="1" applyFill="1" applyBorder="1"/>
    <x:xf numFmtId="10" fontId="0" fillId="0" borderId="22" xfId="0" applyNumberFormat="1" applyFont="1" applyFill="1" applyBorder="1"/>
    <x:xf numFmtId="10" fontId="0" fillId="0" borderId="23" xfId="0" applyNumberFormat="1" applyFont="1" applyFill="1" applyBorder="1"/>
    <x:xf numFmtId="0" fontId="0" fillId="0" borderId="29" xfId="0" applyNumberFormat="1" applyFont="1" applyFill="1" applyBorder="1"/>
    <x:xf numFmtId="10" fontId="0" fillId="0" borderId="30" xfId="0" applyNumberFormat="1" applyFont="1" applyFill="1" applyBorder="1"/>
    <x:xf numFmtId="10" fontId="0" fillId="0" borderId="24" xfId="0" applyNumberFormat="1" applyFont="1" applyFill="1" applyBorder="1"/>
    <x:xf numFmtId="17" fontId="0" fillId="0" borderId="26" xfId="0" applyNumberFormat="1" applyFont="1" applyFill="1" applyBorder="1"/>
    <x:xf numFmtId="17" fontId="0" fillId="0" borderId="27" xfId="0" applyNumberFormat="1" applyFont="1" applyFill="1" applyBorder="1"/>
    <x:xf numFmtId="0" fontId="0" fillId="0" borderId="26" xfId="0" applyNumberFormat="1" applyFont="1" applyFill="1" applyBorder="1" applyAlignment="1">
      <x:alignment vertical="center" wrapText="1"/>
    </x:xf>
    <x:xf numFmtId="44" fontId="0" fillId="0" borderId="30" xfId="0" applyNumberFormat="1" applyFont="1" applyFill="1" applyBorder="1"/>
    <x:xf numFmtId="44" fontId="0" fillId="0" borderId="24" xfId="0" applyNumberFormat="1" applyFont="1" applyFill="1" applyBorder="1"/>
    <x:xf numFmtId="0" fontId="1" fillId="0" borderId="31" xfId="0" applyNumberFormat="1" applyFont="1" applyFill="1" applyBorder="1"/>
    <x:xf numFmtId="0" fontId="1" fillId="0" borderId="25" xfId="0" applyNumberFormat="1" applyFont="1" applyFill="1" applyBorder="1"/>
    <x:xf numFmtId="0" fontId="0" fillId="0" borderId="32" xfId="0" applyNumberFormat="1" applyFont="1" applyFill="1" applyBorder="1" applyAlignment="1">
      <x:alignment vertical="center" wrapText="1"/>
    </x:xf>
    <x:xf numFmtId="0" fontId="0" fillId="0" borderId="33" xfId="0" applyNumberFormat="1" applyFont="1" applyFill="1" applyBorder="1" applyAlignment="1">
      <x:alignment vertical="center" wrapText="1"/>
    </x:xf>
    <x:xf numFmtId="0" fontId="0" fillId="0" borderId="34" xfId="0" applyNumberFormat="1" applyFont="1" applyFill="1" applyBorder="1" applyAlignment="1">
      <x:alignment vertical="center" wrapText="1"/>
    </x:xf>
    <x:xf numFmtId="10" fontId="0" fillId="0" borderId="35" xfId="0" applyNumberFormat="1" applyFont="1" applyFill="1" applyBorder="1" applyAlignment="1">
      <x:alignment vertical="center" wrapText="1"/>
    </x:xf>
    <x:xf numFmtId="44" fontId="0" fillId="0" borderId="35" xfId="0" applyNumberFormat="1" applyFont="1" applyFill="1" applyBorder="1" applyAlignment="1">
      <x:alignment vertical="center" wrapText="1"/>
    </x:xf>
    <x:xf numFmtId="0" fontId="0" fillId="0" borderId="35" xfId="0" applyNumberFormat="1" applyFont="1" applyFill="1" applyBorder="1" applyAlignment="1">
      <x:alignment vertical="center" wrapText="1"/>
    </x:xf>
    <x:xf numFmtId="0" fontId="0" fillId="0" borderId="36" xfId="0" applyNumberFormat="1" applyFont="1" applyFill="1" applyBorder="1" applyAlignment="1">
      <x:alignment vertical="center" wrapText="1"/>
    </x:xf>
    <x:xf numFmtId="44" fontId="0" fillId="0" borderId="37" xfId="0" applyNumberFormat="1" applyFont="1" applyFill="1" applyBorder="1" applyAlignment="1">
      <x:alignment vertical="center" wrapText="1"/>
    </x:xf>
    <x:xf numFmtId="0" fontId="0" fillId="0" borderId="38" xfId="0" applyNumberFormat="1" applyFont="1" applyFill="1" applyBorder="1" applyAlignment="1">
      <x:alignment vertical="center" wrapText="1"/>
    </x:xf>
    <x:xf numFmtId="44" fontId="0" fillId="0" borderId="39" xfId="0" applyNumberFormat="1" applyFont="1" applyFill="1" applyBorder="1" applyAlignment="1">
      <x:alignment horizontal="center" vertical="center" wrapText="1"/>
    </x:xf>
    <x:xf numFmtId="10" fontId="0" fillId="0" borderId="22" xfId="0" applyNumberFormat="1" applyFont="1" applyFill="1" applyBorder="1" applyAlignment="1">
      <x:alignment vertical="center" wrapText="1"/>
    </x:xf>
    <x:xf numFmtId="10" fontId="0" fillId="0" borderId="30" xfId="0" applyNumberFormat="1" applyFont="1" applyFill="1" applyBorder="1" applyAlignment="1">
      <x:alignment vertical="center" wrapText="1"/>
    </x:xf>
    <x:xf numFmtId="44" fontId="0" fillId="0" borderId="38" xfId="0" applyNumberFormat="1" applyFont="1" applyFill="1" applyBorder="1"/>
    <x:xf numFmtId="44" fontId="0" fillId="0" borderId="32" xfId="0" applyNumberFormat="1" applyFont="1" applyFill="1" applyBorder="1"/>
    <x:xf numFmtId="0" fontId="1" fillId="0" borderId="40" xfId="0" applyNumberFormat="1" applyFont="1" applyFill="1" applyBorder="1"/>
    <x:xf numFmtId="0" fontId="3" fillId="0" borderId="25" xfId="0" applyNumberFormat="1" applyFont="1" applyFill="1" applyBorder="1" applyAlignment="1">
      <x:alignment horizontal="center"/>
    </x:xf>
    <x:xf numFmtId="0" fontId="3" fillId="0" borderId="26" xfId="0" applyNumberFormat="1" applyFont="1" applyFill="1" applyBorder="1" applyAlignment="1">
      <x:alignment horizontal="center"/>
    </x:xf>
    <x:xf numFmtId="0" fontId="3" fillId="0" borderId="27" xfId="0" applyNumberFormat="1" applyFont="1" applyFill="1" applyBorder="1" applyAlignment="1">
      <x:alignment horizontal="center"/>
    </x:xf>
    <x:xf numFmtId="0" fontId="0" fillId="0" borderId="41" xfId="0" applyNumberFormat="1" applyFont="1" applyFill="1" applyBorder="1" applyAlignment="1">
      <x:alignment horizontal="left"/>
    </x:xf>
    <x:xf numFmtId="0" fontId="0" fillId="0" borderId="42" xfId="0" applyNumberFormat="1" applyFont="1" applyFill="1" applyBorder="1" applyAlignment="1">
      <x:alignment horizontal="left"/>
    </x:xf>
    <x:xf numFmtId="0" fontId="0" fillId="0" borderId="43" xfId="0" applyNumberFormat="1" applyFont="1" applyFill="1" applyBorder="1" applyAlignment="1">
      <x:alignment horizontal="left"/>
    </x:xf>
    <x:xf numFmtId="0" fontId="0" fillId="0" borderId="26" xfId="0" applyNumberFormat="1" applyFont="1" applyFill="1" applyBorder="1" applyAlignment="1">
      <x:alignment horizontal="left"/>
    </x:xf>
    <x:xf numFmtId="0" fontId="0" fillId="0" borderId="27" xfId="0" applyNumberFormat="1" applyFont="1" applyFill="1" applyBorder="1" applyAlignment="1">
      <x:alignment horizontal="left"/>
    </x:xf>
    <x:xf numFmtId="0" fontId="0" fillId="0" borderId="22" xfId="0" applyNumberFormat="1" applyFont="1" applyFill="1" applyBorder="1" applyAlignment="1">
      <x:alignment horizontal="center" wrapText="1"/>
    </x:xf>
    <x:xf numFmtId="0" fontId="0" fillId="0" borderId="32" xfId="0" applyNumberFormat="1" applyFont="1" applyFill="1" applyBorder="1" applyAlignment="1">
      <x:alignment horizontal="center" vertical="center" wrapText="1"/>
    </x:xf>
    <x:xf numFmtId="0" fontId="0" fillId="0" borderId="32" xfId="0" applyNumberFormat="1" applyFont="1" applyFill="1" applyBorder="1" applyAlignment="1">
      <x:alignment horizontal="center"/>
    </x:xf>
    <x:xf numFmtId="0" fontId="0" fillId="0" borderId="36" xfId="0" applyNumberFormat="1" applyFont="1" applyFill="1" applyBorder="1" applyAlignment="1">
      <x:alignment horizontal="center" vertical="center" wrapText="1"/>
    </x:xf>
    <x:xf numFmtId="0" fontId="0" fillId="0" borderId="37" xfId="0" applyNumberFormat="1" applyFont="1" applyFill="1" applyBorder="1" applyAlignment="1">
      <x:alignment horizontal="center" vertical="center" wrapText="1"/>
    </x:xf>
    <x:xf numFmtId="0" fontId="0" fillId="0" borderId="34" xfId="0" applyNumberFormat="1" applyFont="1" applyFill="1" applyBorder="1" applyAlignment="1">
      <x:alignment horizontal="center" vertical="center" wrapText="1"/>
    </x:xf>
    <x:xf numFmtId="0" fontId="0" fillId="0" borderId="35" xfId="0" applyNumberFormat="1" applyFont="1" applyFill="1" applyBorder="1" applyAlignment="1">
      <x:alignment horizontal="center" vertical="center" wrapText="1"/>
    </x:xf>
    <x:xf numFmtId="0" fontId="2" fillId="0" borderId="33" xfId="0" applyNumberFormat="1" applyFont="1" applyFill="1" applyBorder="1" applyAlignment="1">
      <x:alignment horizontal="center"/>
    </x:xf>
    <x:xf numFmtId="0" fontId="2" fillId="0" borderId="39" xfId="0" applyNumberFormat="1" applyFont="1" applyFill="1" applyBorder="1" applyAlignment="1">
      <x:alignment horizontal="center"/>
    </x:xf>
    <x:xf numFmtId="0" fontId="3" fillId="0" borderId="22" xfId="0" applyNumberFormat="1" applyFont="1" applyFill="1" applyBorder="1" applyAlignment="1">
      <x:alignment horizontal="center"/>
    </x:xf>
    <x:xf numFmtId="0" fontId="0" fillId="0" borderId="25" xfId="0" applyNumberFormat="1" applyFont="1" applyFill="1" applyBorder="1" applyAlignment="1">
      <x:alignment horizontal="center"/>
    </x:xf>
    <x:xf numFmtId="0" fontId="0" fillId="0" borderId="27" xfId="0" applyNumberFormat="1" applyFont="1" applyFill="1" applyBorder="1" applyAlignment="1">
      <x:alignment horizontal="center"/>
    </x:xf>
    <x:xf numFmtId="0" fontId="5" fillId="0" borderId="22" xfId="0" applyNumberFormat="1" applyFont="1" applyFill="1" applyBorder="1"/>
    <x:xf numFmtId="14" fontId="0" fillId="0" borderId="22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22" xfId="0" applyNumberFormat="1" applyFont="1" applyFill="1" applyBorder="1"/>
    <x:xf numFmtId="200" fontId="0" fillId="0" borderId="0" xfId="0" applyNumberFormat="1" applyFont="1" applyFill="1" applyBorder="1" applyAlignment="1">
      <x:alignment vertical="center" wrapText="1"/>
    </x:xf>
    <x:xf numFmtId="200" fontId="0" fillId="0" borderId="22" xfId="0" applyNumberFormat="1" applyFont="1" applyFill="1" applyBorder="1" applyAlignment="1">
      <x:alignment vertical="center" wrapText="1"/>
    </x:xf>
    <x:xf numFmtId="200" fontId="0" fillId="0" borderId="3" xfId="0" applyNumberFormat="1" applyFont="1" applyFill="1" applyBorder="1"/>
    <x:xf numFmtId="200" fontId="0" fillId="0" borderId="5" xfId="0" applyNumberFormat="1" applyFont="1" applyFill="1" applyBorder="1"/>
    <x:xf numFmtId="200" fontId="0" fillId="0" borderId="28" xfId="0" applyNumberFormat="1" applyFont="1" applyFill="1" applyBorder="1"/>
    <x:xf numFmtId="200" fontId="0" fillId="0" borderId="29" xfId="0" applyNumberFormat="1" applyFont="1" applyFill="1" applyBorder="1"/>
    <x:xf numFmtId="201" fontId="0" fillId="0" borderId="0" xfId="0" applyNumberFormat="1" applyFont="1" applyFill="1" applyBorder="1"/>
    <x:xf numFmtId="201" fontId="0" fillId="0" borderId="22" xfId="0" applyNumberFormat="1" applyFont="1" applyFill="1" applyBorder="1"/>
    <x:xf numFmtId="201" fontId="0" fillId="0" borderId="0" xfId="0" applyNumberFormat="1" applyFont="1" applyFill="1" applyBorder="1" applyAlignment="1">
      <x:alignment vertical="center" wrapText="1"/>
    </x:xf>
    <x:xf numFmtId="201" fontId="0" fillId="0" borderId="22" xfId="0" applyNumberFormat="1" applyFont="1" applyFill="1" applyBorder="1" applyAlignment="1">
      <x:alignment vertical="center" wrapText="1"/>
    </x:xf>
    <x:xf numFmtId="202" fontId="0" fillId="0" borderId="9" xfId="0" applyNumberFormat="1" applyFont="1" applyFill="1" applyBorder="1"/>
    <x:xf numFmtId="202" fontId="0" fillId="0" borderId="10" xfId="0" applyNumberFormat="1" applyFont="1" applyFill="1" applyBorder="1"/>
  </x:cellXfs>
  <x:cellStyles count="1">
    <x:cellStyle name="Normal" xfId="0"/>
  </x:cellStyles>
  <x:dxfs count="20">
    <x:dxf/>
    <x:dxf/>
    <x:dxf>
      <x:font>
        <x:b/>
        <x:u val="none"/>
        <x:sz val="11"/>
        <x:color theme="1"/>
        <x:name val="Aptos Narrow"/>
        <x:family val="2"/>
        <x:scheme val="minor"/>
      </x:font>
    </x:dxf>
    <x:dxf>
      <x:numFmt numFmtId="19" formatCode="dd/mm/yy"/>
    </x:dxf>
    <x:dxf>
      <x:font>
        <x:u val="none"/>
        <x:sz val="10"/>
        <x:color theme="1"/>
        <x:name val="Arial Unicode MS"/>
        <x:scheme val="none"/>
      </x:font>
    </x:dxf>
    <x:dxf/>
    <x:dxf/>
    <x:dxf/>
    <x:dxf>
      <x:numFmt numFmtId="0" formatCode="General"/>
    </x:dxf>
    <x:dxf>
      <x:numFmt numFmtId="19" formatCode="dd/mm/yy"/>
    </x:dxf>
    <x:dxf>
      <x:numFmt numFmtId="0" formatCode="General"/>
    </x:dxf>
    <x:dxf>
      <x:numFmt numFmtId="19" formatCode="dd/mm/yy"/>
    </x:dxf>
    <x:dxf>
      <x:numFmt numFmtId="0" formatCode="General"/>
    </x:dxf>
    <x:dxf>
      <x:numFmt numFmtId="19" formatCode="dd/mm/yy"/>
    </x:dxf>
    <x:dxf>
      <x:numFmt numFmtId="0" formatCode="General"/>
    </x:dxf>
    <x:dxf>
      <x:numFmt numFmtId="19" formatCode="dd/mm/yy"/>
    </x:dxf>
    <x:dxf>
      <x:numFmt numFmtId="19" formatCode="dd/mm/yy"/>
    </x:dxf>
    <x:dxf>
      <x:numFmt numFmtId="19" formatCode="dd/mm/yy"/>
    </x:dxf>
    <x:dxf>
      <x:numFmt numFmtId="19" formatCode="dd/mm/yy"/>
    </x:dxf>
    <x:dxf>
      <x:numFmt numFmtId="19" formatCode="dd/mm/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2500003ed84847" /><Relationship Type="http://schemas.openxmlformats.org/officeDocument/2006/relationships/theme" Target="/xl/theme/theme1.xml" Id="R8b3283eccfa34d6c" /><Relationship Type="http://schemas.openxmlformats.org/officeDocument/2006/relationships/sharedStrings" Target="/xl/sharedStrings.xml" Id="R6371e254004e4e45" /><Relationship Type="http://schemas.openxmlformats.org/officeDocument/2006/relationships/worksheet" Target="/xl/worksheets/sheet1.xml" Id="R4edb27b5664841c8" /><Relationship Type="http://schemas.openxmlformats.org/officeDocument/2006/relationships/worksheet" Target="/xl/worksheets/sheet2.xml" Id="R770a988d72f44c8e" /><Relationship Type="http://schemas.openxmlformats.org/officeDocument/2006/relationships/worksheet" Target="/xl/worksheets/sheet3.xml" Id="Rbb7f22165ac54233" /><Relationship Type="http://schemas.openxmlformats.org/officeDocument/2006/relationships/worksheet" Target="/xl/worksheets/sheet4.xml" Id="R9ef650b1bb71483e" /><Relationship Type="http://schemas.openxmlformats.org/officeDocument/2006/relationships/worksheet" Target="/xl/worksheets/sheet5.xml" Id="R3291900a71bb40d5" /><Relationship Type="http://schemas.openxmlformats.org/officeDocument/2006/relationships/worksheet" Target="/xl/worksheets/sheet6.xml" Id="R1dda5beb26ed44d1" /><Relationship Type="http://schemas.openxmlformats.org/officeDocument/2006/relationships/worksheet" Target="/xl/worksheets/sheet7.xml" Id="Ra5ee098c2e214816" /><Relationship Type="http://schemas.openxmlformats.org/officeDocument/2006/relationships/worksheet" Target="/xl/worksheets/sheet8.xml" Id="R979d10f7eda44f53" /><Relationship Type="http://schemas.openxmlformats.org/officeDocument/2006/relationships/worksheet" Target="/xl/worksheets/sheet9.xml" Id="R44e0f44bc24c4b82" /><Relationship Type="http://schemas.openxmlformats.org/officeDocument/2006/relationships/worksheet" Target="/xl/worksheets/sheet10.xml" Id="R51d0d4d438be4db8" /><Relationship Type="http://schemas.openxmlformats.org/officeDocument/2006/relationships/worksheet" Target="/xl/worksheets/sheet11.xml" Id="R2a64a53fba104923" /><Relationship Type="http://schemas.openxmlformats.org/officeDocument/2006/relationships/worksheet" Target="/xl/worksheets/sheet12.xml" Id="R8c9bf57ed0be4155" /><Relationship Type="http://schemas.openxmlformats.org/officeDocument/2006/relationships/worksheet" Target="/xl/worksheets/sheet13.xml" Id="R4b20ec7410454d5a" /></Relationships>
</file>

<file path=xl/tables/table1.xml><?xml version="1.0" encoding="utf-8"?>
<x:table xmlns:x="http://schemas.openxmlformats.org/spreadsheetml/2006/main" id="1" name="tblRevenue" displayName="tblRevenue" ref="A1:J23">
  <x:autoFilter ref="A1:J23"/>
  <x:tableColumns count="10">
    <x:tableColumn id="1" name="Month"/>
    <x:tableColumn id="9" name="Month_Label"/>
    <x:tableColumn id="10" name="Month_Number"/>
    <x:tableColumn id="2" name="Customer_ID"/>
    <x:tableColumn id="3" name="Subscription_Revenue"/>
    <x:tableColumn id="4" name="Transaction_Volume"/>
    <x:tableColumn id="5" name="Transaction_Fee_Revenue"/>
    <x:tableColumn id="6" name="Premium_Analytics_Revenue"/>
    <x:tableColumn id="7" name="Setup_Fee_Revenue"/>
    <x:tableColumn id="8" name="Total_Revenue"/>
  </x:tableColumns>
  <x:tableStyleInfo name="TableStyleMedium2" showRowStripes="1"/>
</x:table>
</file>

<file path=xl/tables/table2.xml><?xml version="1.0" encoding="utf-8"?>
<x:table xmlns:x="http://schemas.openxmlformats.org/spreadsheetml/2006/main" id="5" name="tblCustomers" displayName="tblCustomers" ref="A1:B7">
  <x:autoFilter ref="A1:B7"/>
  <x:tableColumns count="2">
    <x:tableColumn id="1" name="Customer_ID"/>
    <x:tableColumn id="2" name="Customer_Name"/>
  </x:tableColumns>
  <x:tableStyleInfo name="TableStyleMedium2" showRowStripes="1"/>
</x:table>
</file>

<file path=xl/tables/table3.xml><?xml version="1.0" encoding="utf-8"?>
<x:table xmlns:x="http://schemas.openxmlformats.org/spreadsheetml/2006/main" id="8" name="tblDate" displayName="tblDate" ref="A1:D7">
  <x:autoFilter ref="A1:D7"/>
  <x:tableColumns count="4">
    <x:tableColumn id="1" name="Month_Date"/>
    <x:tableColumn id="2" name="Month_Label"/>
    <x:tableColumn id="3" name="Month_Number"/>
    <x:tableColumn id="4" name="Month_Year"/>
  </x:tableColumns>
  <x:tableStyleInfo name="TableStyleMedium2" showRowStripes="1"/>
</x:table>
</file>

<file path=xl/tables/table4.xml><?xml version="1.0" encoding="utf-8"?>
<x:table xmlns:x="http://schemas.openxmlformats.org/spreadsheetml/2006/main" id="2" name="tblExpenses" displayName="tblExpenses" ref="A1:I37">
  <x:autoFilter ref="A1:I37"/>
  <x:tableColumns count="9">
    <x:tableColumn id="1" name="Month"/>
    <x:tableColumn id="8" name="Month_Label"/>
    <x:tableColumn id="9" name="Month_Number"/>
    <x:tableColumn id="2" name="Department"/>
    <x:tableColumn id="3" name="Expense_Category"/>
    <x:tableColumn id="4" name="Budget_Expense"/>
    <x:tableColumn id="5" name="Actual_Expense"/>
    <x:tableColumn id="6" name="Vendor"/>
    <x:tableColumn id="7" name="Cost_Type"/>
  </x:tableColumns>
  <x:tableStyleInfo name="TableStyleMedium2" showRowStripes="1"/>
</x:table>
</file>

<file path=xl/tables/table5.xml><?xml version="1.0" encoding="utf-8"?>
<x:table xmlns:x="http://schemas.openxmlformats.org/spreadsheetml/2006/main" id="3" name="tblBudget" displayName="tblBudget" ref="A1:K7">
  <x:autoFilter ref="A1:K7"/>
  <x:tableColumns count="11">
    <x:tableColumn id="1" name="Month"/>
    <x:tableColumn id="11" name="Month_Label"/>
    <x:tableColumn id="10" name="Month_Number"/>
    <x:tableColumn id="2" name="Budget_Subscription_Revenue"/>
    <x:tableColumn id="3" name="Budget_Transaction_Fee_Revenue"/>
    <x:tableColumn id="4" name="Budget_Premium_Revenue"/>
    <x:tableColumn id="5" name="Budget_Setup_Fee_Revenue"/>
    <x:tableColumn id="6" name="Budget_Total_Revenue"/>
    <x:tableColumn id="7" name="Budget_COGS"/>
    <x:tableColumn id="8" name="Budget_Operating_Expenses"/>
    <x:tableColumn id="9" name="Budget_EBITDA"/>
  </x:tableColumns>
  <x:tableStyleInfo name="TableStyleMedium2" showRowStripes="1"/>
</x:table>
</file>

<file path=xl/tables/table6.xml><?xml version="1.0" encoding="utf-8"?>
<x:table xmlns:x="http://schemas.openxmlformats.org/spreadsheetml/2006/main" id="4" name="tblKPI" displayName="tblKPI" ref="A1:K7">
  <x:autoFilter ref="A1:K7"/>
  <x:tableColumns count="11">
    <x:tableColumn id="1" name="Month"/>
    <x:tableColumn id="10" name="Month_Label"/>
    <x:tableColumn id="11" name="Month_Number"/>
    <x:tableColumn id="2" name="Active_Customers"/>
    <x:tableColumn id="3" name="New_Customers"/>
    <x:tableColumn id="4" name="Lost_Customers"/>
    <x:tableColumn id="5" name="Churn_Rate"/>
    <x:tableColumn id="6" name="Average_Revenue_Per_Customer"/>
    <x:tableColumn id="7" name="CAC"/>
    <x:tableColumn id="8" name="Gross_Margin"/>
    <x:tableColumn id="9" name="Net_Revenue_Retention"/>
  </x:tableColumns>
  <x:tableStyleInfo name="TableStyleMedium2" showRowStripes="1"/>
</x:table>
</file>

<file path=xl/tables/table7.xml><?xml version="1.0" encoding="utf-8"?>
<x:table xmlns:x="http://schemas.openxmlformats.org/spreadsheetml/2006/main" id="6" name="tblScenarios" displayName="tblScenarios" ref="A1:H4">
  <x:autoFilter ref="A1:H4"/>
  <x:tableColumns count="8">
    <x:tableColumn id="1" name="Scenario"/>
    <x:tableColumn id="2" name="Customer_Growth_Rate"/>
    <x:tableColumn id="3" name="Churn_Rate"/>
    <x:tableColumn id="4" name="Transaction_Volume_Growth"/>
    <x:tableColumn id="5" name="Pricing_Increase"/>
    <x:tableColumn id="6" name="CAC_Change"/>
    <x:tableColumn id="7" name="Payroll_Inflation"/>
    <x:tableColumn id="8" name="Marketing_Spend_Change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523ef8af0e6477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66a9d7cff274c5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25043f83c914cb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ce3a9402a104ce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5bb9e878e7e499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095825e352c401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08d8a6ebcee401b" /></Relationships>
</file>

<file path=xl/worksheets/sheet1.xml><?xml version="1.0" encoding="utf-8"?>
<x:worksheet xmlns:x="http://schemas.openxmlformats.org/spreadsheetml/2006/main">
  <x:sheetFormatPr defaultRowHeight="14.399999618530273"/>
  <x:sheetData>
    <x:row r="2">
      <x:c r="D2" s="51" t="s">
        <x:v>0</x:v>
      </x:c>
      <x:c r="E2" s="51"/>
      <x:c r="F2" s="51"/>
      <x:c r="G2" s="51"/>
      <x:c r="H2" s="51"/>
      <x:c r="I2" s="51"/>
      <x:c r="J2" s="51"/>
    </x:row>
    <x:row r="3">
      <x:c r="D3" s="51"/>
      <x:c r="E3" s="51"/>
      <x:c r="F3" s="51"/>
      <x:c r="G3" s="51"/>
      <x:c r="H3" s="51"/>
      <x:c r="I3" s="51"/>
      <x:c r="J3" s="51"/>
    </x:row>
    <x:row r="4">
      <x:c r="D4" s="51"/>
      <x:c r="E4" s="51"/>
      <x:c r="F4" s="51"/>
      <x:c r="G4" s="51"/>
      <x:c r="H4" s="51"/>
      <x:c r="I4" s="51"/>
      <x:c r="J4" s="51"/>
    </x:row>
    <x:row r="5">
      <x:c r="D5" s="51"/>
      <x:c r="E5" s="51"/>
      <x:c r="F5" s="51"/>
      <x:c r="G5" s="51"/>
      <x:c r="H5" s="51"/>
      <x:c r="I5" s="51"/>
      <x:c r="J5" s="51"/>
    </x:row>
    <x:row r="6">
      <x:c r="D6" s="51"/>
      <x:c r="E6" s="51"/>
      <x:c r="F6" s="51"/>
      <x:c r="G6" s="51"/>
      <x:c r="H6" s="51"/>
      <x:c r="I6" s="51"/>
      <x:c r="J6" s="51"/>
    </x:row>
    <x:row r="7">
      <x:c r="D7" s="51"/>
      <x:c r="E7" s="51"/>
      <x:c r="F7" s="51"/>
      <x:c r="G7" s="51"/>
      <x:c r="H7" s="51"/>
      <x:c r="I7" s="51"/>
      <x:c r="J7" s="51"/>
    </x:row>
    <x:row r="8">
      <x:c r="D8" s="51"/>
      <x:c r="E8" s="51"/>
      <x:c r="F8" s="51"/>
      <x:c r="G8" s="51"/>
      <x:c r="H8" s="51"/>
      <x:c r="I8" s="51"/>
      <x:c r="J8" s="51"/>
    </x:row>
    <x:row r="9">
      <x:c r="D9" s="51"/>
      <x:c r="E9" s="51"/>
      <x:c r="F9" s="51"/>
      <x:c r="G9" s="51"/>
      <x:c r="H9" s="51"/>
      <x:c r="I9" s="51"/>
      <x:c r="J9" s="51"/>
    </x:row>
    <x:row r="10">
      <x:c r="D10" s="51"/>
      <x:c r="E10" s="51"/>
      <x:c r="F10" s="51"/>
      <x:c r="G10" s="51"/>
      <x:c r="H10" s="51"/>
      <x:c r="I10" s="51"/>
      <x:c r="J10" s="51"/>
    </x:row>
    <x:row r="11">
      <x:c r="D11" s="51"/>
      <x:c r="E11" s="51"/>
      <x:c r="F11" s="51"/>
      <x:c r="G11" s="51"/>
      <x:c r="H11" s="51"/>
      <x:c r="I11" s="51"/>
      <x:c r="J11" s="51"/>
    </x:row>
    <x:row r="12">
      <x:c r="D12" s="51"/>
      <x:c r="E12" s="51"/>
      <x:c r="F12" s="51"/>
      <x:c r="G12" s="51"/>
      <x:c r="H12" s="51"/>
      <x:c r="I12" s="51"/>
      <x:c r="J12" s="51"/>
    </x:row>
    <x:row r="13">
      <x:c r="D13" s="51"/>
      <x:c r="E13" s="51"/>
      <x:c r="F13" s="51"/>
      <x:c r="G13" s="51"/>
      <x:c r="H13" s="51"/>
      <x:c r="I13" s="51"/>
      <x:c r="J13" s="51"/>
    </x:row>
    <x:row r="14">
      <x:c r="D14" s="51"/>
      <x:c r="E14" s="51"/>
      <x:c r="F14" s="51"/>
      <x:c r="G14" s="51"/>
      <x:c r="H14" s="51"/>
      <x:c r="I14" s="51"/>
      <x:c r="J14" s="51"/>
    </x:row>
    <x:row r="15">
      <x:c r="D15" s="51"/>
      <x:c r="E15" s="51"/>
      <x:c r="F15" s="51"/>
      <x:c r="G15" s="51"/>
      <x:c r="H15" s="51"/>
      <x:c r="I15" s="51"/>
      <x:c r="J15" s="51"/>
    </x:row>
    <x:row r="16">
      <x:c r="D16" s="51"/>
      <x:c r="E16" s="51"/>
      <x:c r="F16" s="51"/>
      <x:c r="G16" s="51"/>
      <x:c r="H16" s="51"/>
      <x:c r="I16" s="51"/>
      <x:c r="J16" s="51"/>
    </x:row>
    <x:row r="17">
      <x:c r="D17" s="51"/>
      <x:c r="E17" s="51"/>
      <x:c r="F17" s="51"/>
      <x:c r="G17" s="51"/>
      <x:c r="H17" s="51"/>
      <x:c r="I17" s="51"/>
      <x:c r="J17" s="51"/>
    </x:row>
    <x:row r="18">
      <x:c r="D18" s="51"/>
      <x:c r="E18" s="51"/>
      <x:c r="F18" s="51"/>
      <x:c r="G18" s="51"/>
      <x:c r="H18" s="51"/>
      <x:c r="I18" s="51"/>
      <x:c r="J18" s="51"/>
    </x:row>
    <x:row r="19">
      <x:c r="D19" s="51"/>
      <x:c r="E19" s="51"/>
      <x:c r="F19" s="51"/>
      <x:c r="G19" s="51"/>
      <x:c r="H19" s="51"/>
      <x:c r="I19" s="51"/>
      <x:c r="J19" s="51"/>
    </x:row>
    <x:row r="20">
      <x:c r="D20" s="51"/>
      <x:c r="E20" s="51"/>
      <x:c r="F20" s="51"/>
      <x:c r="G20" s="51"/>
      <x:c r="H20" s="51"/>
      <x:c r="I20" s="51"/>
      <x:c r="J20" s="51"/>
    </x:row>
    <x:row r="21">
      <x:c r="D21" s="51"/>
      <x:c r="E21" s="51"/>
      <x:c r="F21" s="51"/>
      <x:c r="G21" s="51"/>
      <x:c r="H21" s="51"/>
      <x:c r="I21" s="51"/>
      <x:c r="J21" s="51"/>
    </x:row>
    <x:row r="22">
      <x:c r="D22" s="51"/>
      <x:c r="E22" s="51"/>
      <x:c r="F22" s="51"/>
      <x:c r="G22" s="51"/>
      <x:c r="H22" s="51"/>
      <x:c r="I22" s="51"/>
      <x:c r="J22" s="51"/>
    </x:row>
  </x:sheetData>
  <x:mergeCells>
    <x:mergeCell ref="D2:J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399999618530273"/>
  <x:cols>
    <x:col min="2" max="2" width="13.460000038146973" hidden="0" customWidth="1"/>
    <x:col min="3" max="3" width="15.880000114440918" style="63" hidden="0" customWidth="1"/>
    <x:col min="4" max="4" width="13.319999694824219" hidden="0" customWidth="1"/>
    <x:col min="5" max="5" width="21.33203125" customWidth="1"/>
    <x:col min="6" max="6" width="19.6640625" customWidth="1"/>
    <x:col min="7" max="7" width="24.109375" customWidth="1"/>
    <x:col min="8" max="8" width="26.77734375" customWidth="1"/>
    <x:col min="9" max="9" width="19.33203125" customWidth="1"/>
    <x:col min="10" max="10" width="14.77734375" customWidth="1"/>
    <x:col min="1" max="1" width="8.210000038146973" hidden="0" customWidth="1"/>
  </x:cols>
  <x:sheetData>
    <x:row r="1">
      <x:c r="A1" t="s">
        <x:v>1</x:v>
      </x:c>
      <x:c r="B1" t="s">
        <x:v>2</x:v>
      </x:c>
      <x:c r="C1" s="63" t="s">
        <x:v>3</x:v>
      </x:c>
      <x:c r="D1" t="s">
        <x:v>4</x:v>
      </x:c>
      <x:c r="E1" t="s">
        <x:v>5</x:v>
      </x:c>
      <x:c r="F1" t="s">
        <x:v>6</x:v>
      </x:c>
      <x:c r="G1" t="s">
        <x:v>7</x:v>
      </x:c>
      <x:c r="H1" t="s">
        <x:v>8</x:v>
      </x:c>
      <x:c r="I1" t="s">
        <x:v>9</x:v>
      </x:c>
      <x:c r="J1" t="s">
        <x:v>10</x:v>
      </x:c>
    </x:row>
    <x:row r="2">
      <x:c r="A2" s="134">
        <x:v>45292</x:v>
      </x:c>
      <x:c r="B2" s="1" t="str">
        <x:f t="shared" ref="B2:B23" si="0">TEXT(A2,"mmm-yy")</x:f>
        <x:v>Jan-24</x:v>
      </x:c>
      <x:c r="C2" s="142" t="n">
        <x:f t="shared" ref="C2:C23" si="1">MONTH(A2)</x:f>
        <x:v>1</x:v>
      </x:c>
      <x:c r="D2" t="s">
        <x:v>11</x:v>
      </x:c>
      <x:c r="E2">
        <x:v>299</x:v>
      </x:c>
      <x:c r="F2">
        <x:v>45000</x:v>
      </x:c>
      <x:c r="G2">
        <x:v>585</x:v>
      </x:c>
      <x:c r="H2">
        <x:v>0</x:v>
      </x:c>
      <x:c r="I2">
        <x:v>500</x:v>
      </x:c>
      <x:c r="J2">
        <x:v>1384</x:v>
      </x:c>
    </x:row>
    <x:row r="3">
      <x:c r="A3" s="134">
        <x:v>45323</x:v>
      </x:c>
      <x:c r="B3" s="1" t="str">
        <x:f t="shared" si="0"/>
        <x:v>Feb-24</x:v>
      </x:c>
      <x:c r="C3" s="142">
        <x:f t="shared" si="1"/>
        <x:v>2</x:v>
      </x:c>
      <x:c r="D3" t="s">
        <x:v>11</x:v>
      </x:c>
      <x:c r="E3">
        <x:v>299</x:v>
      </x:c>
      <x:c r="F3">
        <x:v>47000</x:v>
      </x:c>
      <x:c r="G3">
        <x:v>611</x:v>
      </x:c>
      <x:c r="H3">
        <x:v>0</x:v>
      </x:c>
      <x:c r="I3">
        <x:v>0</x:v>
      </x:c>
      <x:c r="J3">
        <x:v>910</x:v>
      </x:c>
    </x:row>
    <x:row r="4">
      <x:c r="A4" s="134">
        <x:v>45352</x:v>
      </x:c>
      <x:c r="B4" s="1" t="str">
        <x:f t="shared" si="0"/>
        <x:v>Mar-24</x:v>
      </x:c>
      <x:c r="C4" s="142">
        <x:f t="shared" si="1"/>
        <x:v>3</x:v>
      </x:c>
      <x:c r="D4" t="s">
        <x:v>11</x:v>
      </x:c>
      <x:c r="E4">
        <x:v>299</x:v>
      </x:c>
      <x:c r="F4">
        <x:v>51000</x:v>
      </x:c>
      <x:c r="G4">
        <x:v>663</x:v>
      </x:c>
      <x:c r="H4">
        <x:v>0</x:v>
      </x:c>
      <x:c r="I4">
        <x:v>0</x:v>
      </x:c>
      <x:c r="J4">
        <x:v>962</x:v>
      </x:c>
    </x:row>
    <x:row r="5">
      <x:c r="A5" s="134">
        <x:v>45383</x:v>
      </x:c>
      <x:c r="B5" s="1" t="str">
        <x:f t="shared" si="0"/>
        <x:v>Apr-24</x:v>
      </x:c>
      <x:c r="C5" s="142">
        <x:f t="shared" si="1"/>
        <x:v>4</x:v>
      </x:c>
      <x:c r="D5" t="s">
        <x:v>11</x:v>
      </x:c>
      <x:c r="E5">
        <x:v>299</x:v>
      </x:c>
      <x:c r="F5">
        <x:v>53000</x:v>
      </x:c>
      <x:c r="G5">
        <x:v>689</x:v>
      </x:c>
      <x:c r="H5">
        <x:v>0</x:v>
      </x:c>
      <x:c r="I5">
        <x:v>0</x:v>
      </x:c>
      <x:c r="J5">
        <x:v>988</x:v>
      </x:c>
    </x:row>
    <x:row r="6">
      <x:c r="A6" s="134">
        <x:v>45413</x:v>
      </x:c>
      <x:c r="B6" s="1" t="str">
        <x:f t="shared" si="0"/>
        <x:v>May-24</x:v>
      </x:c>
      <x:c r="C6" s="142">
        <x:f t="shared" si="1"/>
        <x:v>5</x:v>
      </x:c>
      <x:c r="D6" t="s">
        <x:v>11</x:v>
      </x:c>
      <x:c r="E6">
        <x:v>299</x:v>
      </x:c>
      <x:c r="F6">
        <x:v>56000</x:v>
      </x:c>
      <x:c r="G6">
        <x:v>728</x:v>
      </x:c>
      <x:c r="H6">
        <x:v>0</x:v>
      </x:c>
      <x:c r="I6">
        <x:v>0</x:v>
      </x:c>
      <x:c r="J6">
        <x:v>1027</x:v>
      </x:c>
    </x:row>
    <x:row r="7">
      <x:c r="A7" s="134">
        <x:v>45444</x:v>
      </x:c>
      <x:c r="B7" s="1" t="str">
        <x:f t="shared" si="0"/>
        <x:v>Jun-24</x:v>
      </x:c>
      <x:c r="C7" s="142">
        <x:f t="shared" si="1"/>
        <x:v>6</x:v>
      </x:c>
      <x:c r="D7" t="s">
        <x:v>11</x:v>
      </x:c>
      <x:c r="E7">
        <x:v>299</x:v>
      </x:c>
      <x:c r="F7">
        <x:v>59000</x:v>
      </x:c>
      <x:c r="G7">
        <x:v>767</x:v>
      </x:c>
      <x:c r="H7">
        <x:v>0</x:v>
      </x:c>
      <x:c r="I7">
        <x:v>0</x:v>
      </x:c>
      <x:c r="J7">
        <x:v>1066</x:v>
      </x:c>
    </x:row>
    <x:row r="8">
      <x:c r="A8" s="134">
        <x:v>45292</x:v>
      </x:c>
      <x:c r="B8" s="1" t="str">
        <x:f t="shared" si="0"/>
        <x:v>Jan-24</x:v>
      </x:c>
      <x:c r="C8" s="142">
        <x:f t="shared" si="1"/>
        <x:v>1</x:v>
      </x:c>
      <x:c r="D8" t="s">
        <x:v>12</x:v>
      </x:c>
      <x:c r="E8">
        <x:v>799</x:v>
      </x:c>
      <x:c r="F8">
        <x:v>85000</x:v>
      </x:c>
      <x:c r="G8">
        <x:v>1105</x:v>
      </x:c>
      <x:c r="H8">
        <x:v>199</x:v>
      </x:c>
      <x:c r="I8">
        <x:v>700</x:v>
      </x:c>
      <x:c r="J8">
        <x:v>2803</x:v>
      </x:c>
    </x:row>
    <x:row r="9">
      <x:c r="A9" s="134">
        <x:v>45323</x:v>
      </x:c>
      <x:c r="B9" s="1" t="str">
        <x:f t="shared" si="0"/>
        <x:v>Feb-24</x:v>
      </x:c>
      <x:c r="C9" s="142">
        <x:f t="shared" si="1"/>
        <x:v>2</x:v>
      </x:c>
      <x:c r="D9" t="s">
        <x:v>12</x:v>
      </x:c>
      <x:c r="E9">
        <x:v>799</x:v>
      </x:c>
      <x:c r="F9">
        <x:v>88000</x:v>
      </x:c>
      <x:c r="G9">
        <x:v>1144</x:v>
      </x:c>
      <x:c r="H9">
        <x:v>199</x:v>
      </x:c>
      <x:c r="I9">
        <x:v>0</x:v>
      </x:c>
      <x:c r="J9">
        <x:v>2142</x:v>
      </x:c>
    </x:row>
    <x:row r="10">
      <x:c r="A10" s="134">
        <x:v>45352</x:v>
      </x:c>
      <x:c r="B10" s="1" t="str">
        <x:f t="shared" si="0"/>
        <x:v>Mar-24</x:v>
      </x:c>
      <x:c r="C10" s="142">
        <x:f t="shared" si="1"/>
        <x:v>3</x:v>
      </x:c>
      <x:c r="D10" t="s">
        <x:v>12</x:v>
      </x:c>
      <x:c r="E10">
        <x:v>799</x:v>
      </x:c>
      <x:c r="F10">
        <x:v>91000</x:v>
      </x:c>
      <x:c r="G10">
        <x:v>1183</x:v>
      </x:c>
      <x:c r="H10">
        <x:v>199</x:v>
      </x:c>
      <x:c r="I10">
        <x:v>0</x:v>
      </x:c>
      <x:c r="J10">
        <x:v>2181</x:v>
      </x:c>
    </x:row>
    <x:row r="11">
      <x:c r="A11" s="134">
        <x:v>45383</x:v>
      </x:c>
      <x:c r="B11" s="1" t="str">
        <x:f t="shared" si="0"/>
        <x:v>Apr-24</x:v>
      </x:c>
      <x:c r="C11" s="142">
        <x:f t="shared" si="1"/>
        <x:v>4</x:v>
      </x:c>
      <x:c r="D11" t="s">
        <x:v>12</x:v>
      </x:c>
      <x:c r="E11">
        <x:v>799</x:v>
      </x:c>
      <x:c r="F11">
        <x:v>94000</x:v>
      </x:c>
      <x:c r="G11">
        <x:v>1222</x:v>
      </x:c>
      <x:c r="H11">
        <x:v>199</x:v>
      </x:c>
      <x:c r="I11">
        <x:v>0</x:v>
      </x:c>
      <x:c r="J11">
        <x:v>2220</x:v>
      </x:c>
    </x:row>
    <x:row r="12">
      <x:c r="A12" s="134">
        <x:v>45413</x:v>
      </x:c>
      <x:c r="B12" s="1" t="str">
        <x:f t="shared" si="0"/>
        <x:v>May-24</x:v>
      </x:c>
      <x:c r="C12" s="142">
        <x:f t="shared" si="1"/>
        <x:v>5</x:v>
      </x:c>
      <x:c r="D12" t="s">
        <x:v>12</x:v>
      </x:c>
      <x:c r="E12">
        <x:v>799</x:v>
      </x:c>
      <x:c r="F12">
        <x:v>97000</x:v>
      </x:c>
      <x:c r="G12">
        <x:v>1261</x:v>
      </x:c>
      <x:c r="H12">
        <x:v>199</x:v>
      </x:c>
      <x:c r="I12">
        <x:v>0</x:v>
      </x:c>
      <x:c r="J12">
        <x:v>2259</x:v>
      </x:c>
    </x:row>
    <x:row r="13">
      <x:c r="A13" s="134">
        <x:v>45444</x:v>
      </x:c>
      <x:c r="B13" s="1" t="str">
        <x:f t="shared" si="0"/>
        <x:v>Jun-24</x:v>
      </x:c>
      <x:c r="C13" s="142">
        <x:f t="shared" si="1"/>
        <x:v>6</x:v>
      </x:c>
      <x:c r="D13" t="s">
        <x:v>12</x:v>
      </x:c>
      <x:c r="E13">
        <x:v>799</x:v>
      </x:c>
      <x:c r="F13">
        <x:v>102000</x:v>
      </x:c>
      <x:c r="G13">
        <x:v>1326</x:v>
      </x:c>
      <x:c r="H13">
        <x:v>199</x:v>
      </x:c>
      <x:c r="I13">
        <x:v>0</x:v>
      </x:c>
      <x:c r="J13">
        <x:v>2324</x:v>
      </x:c>
    </x:row>
    <x:row r="14">
      <x:c r="A14" s="134">
        <x:v>45352</x:v>
      </x:c>
      <x:c r="B14" s="1" t="str">
        <x:f t="shared" si="0"/>
        <x:v>Mar-24</x:v>
      </x:c>
      <x:c r="C14" s="142">
        <x:f t="shared" si="1"/>
        <x:v>3</x:v>
      </x:c>
      <x:c r="D14" t="s">
        <x:v>13</x:v>
      </x:c>
      <x:c r="E14">
        <x:v>299</x:v>
      </x:c>
      <x:c r="F14">
        <x:v>32000</x:v>
      </x:c>
      <x:c r="G14">
        <x:v>416</x:v>
      </x:c>
      <x:c r="H14">
        <x:v>0</x:v>
      </x:c>
      <x:c r="I14">
        <x:v>500</x:v>
      </x:c>
      <x:c r="J14">
        <x:v>1215</x:v>
      </x:c>
    </x:row>
    <x:row r="15">
      <x:c r="A15" s="134">
        <x:v>45383</x:v>
      </x:c>
      <x:c r="B15" s="1" t="str">
        <x:f t="shared" si="0"/>
        <x:v>Apr-24</x:v>
      </x:c>
      <x:c r="C15" s="142">
        <x:f t="shared" si="1"/>
        <x:v>4</x:v>
      </x:c>
      <x:c r="D15" t="s">
        <x:v>13</x:v>
      </x:c>
      <x:c r="E15">
        <x:v>299</x:v>
      </x:c>
      <x:c r="F15">
        <x:v>30000</x:v>
      </x:c>
      <x:c r="G15">
        <x:v>390</x:v>
      </x:c>
      <x:c r="H15">
        <x:v>0</x:v>
      </x:c>
      <x:c r="I15">
        <x:v>0</x:v>
      </x:c>
      <x:c r="J15">
        <x:v>689</x:v>
      </x:c>
    </x:row>
    <x:row r="16">
      <x:c r="A16" s="134">
        <x:v>45413</x:v>
      </x:c>
      <x:c r="B16" s="1" t="str">
        <x:f t="shared" si="0"/>
        <x:v>May-24</x:v>
      </x:c>
      <x:c r="C16" s="142">
        <x:f t="shared" si="1"/>
        <x:v>5</x:v>
      </x:c>
      <x:c r="D16" t="s">
        <x:v>13</x:v>
      </x:c>
      <x:c r="E16">
        <x:v>299</x:v>
      </x:c>
      <x:c r="F16">
        <x:v>28000</x:v>
      </x:c>
      <x:c r="G16">
        <x:v>364</x:v>
      </x:c>
      <x:c r="H16">
        <x:v>0</x:v>
      </x:c>
      <x:c r="I16">
        <x:v>0</x:v>
      </x:c>
      <x:c r="J16">
        <x:v>663</x:v>
      </x:c>
    </x:row>
    <x:row r="17">
      <x:c r="A17" s="134">
        <x:v>45444</x:v>
      </x:c>
      <x:c r="B17" s="1" t="str">
        <x:f t="shared" si="0"/>
        <x:v>Jun-24</x:v>
      </x:c>
      <x:c r="C17" s="142">
        <x:f t="shared" si="1"/>
        <x:v>6</x:v>
      </x:c>
      <x:c r="D17" t="s">
        <x:v>13</x:v>
      </x:c>
      <x:c r="E17">
        <x:v>299</x:v>
      </x:c>
      <x:c r="F17">
        <x:v>25000</x:v>
      </x:c>
      <x:c r="G17">
        <x:v>325</x:v>
      </x:c>
      <x:c r="H17">
        <x:v>0</x:v>
      </x:c>
      <x:c r="I17">
        <x:v>0</x:v>
      </x:c>
      <x:c r="J17">
        <x:v>624</x:v>
      </x:c>
    </x:row>
    <x:row r="18">
      <x:c r="A18" s="134">
        <x:v>45383</x:v>
      </x:c>
      <x:c r="B18" s="1" t="str">
        <x:f t="shared" si="0"/>
        <x:v>Apr-24</x:v>
      </x:c>
      <x:c r="C18" s="142">
        <x:f t="shared" si="1"/>
        <x:v>4</x:v>
      </x:c>
      <x:c r="D18" t="s">
        <x:v>14</x:v>
      </x:c>
      <x:c r="E18">
        <x:v>799</x:v>
      </x:c>
      <x:c r="F18">
        <x:v>76000</x:v>
      </x:c>
      <x:c r="G18">
        <x:v>988</x:v>
      </x:c>
      <x:c r="H18">
        <x:v>199</x:v>
      </x:c>
      <x:c r="I18">
        <x:v>700</x:v>
      </x:c>
      <x:c r="J18">
        <x:v>2686</x:v>
      </x:c>
    </x:row>
    <x:row r="19">
      <x:c r="A19" s="134">
        <x:v>45413</x:v>
      </x:c>
      <x:c r="B19" s="1" t="str">
        <x:f t="shared" si="0"/>
        <x:v>May-24</x:v>
      </x:c>
      <x:c r="C19" s="142">
        <x:f t="shared" si="1"/>
        <x:v>5</x:v>
      </x:c>
      <x:c r="D19" t="s">
        <x:v>14</x:v>
      </x:c>
      <x:c r="E19">
        <x:v>799</x:v>
      </x:c>
      <x:c r="F19">
        <x:v>80000</x:v>
      </x:c>
      <x:c r="G19">
        <x:v>1040</x:v>
      </x:c>
      <x:c r="H19">
        <x:v>199</x:v>
      </x:c>
      <x:c r="I19">
        <x:v>0</x:v>
      </x:c>
      <x:c r="J19">
        <x:v>2038</x:v>
      </x:c>
    </x:row>
    <x:row r="20">
      <x:c r="A20" s="134">
        <x:v>45444</x:v>
      </x:c>
      <x:c r="B20" s="1" t="str">
        <x:f t="shared" si="0"/>
        <x:v>Jun-24</x:v>
      </x:c>
      <x:c r="C20" s="142">
        <x:f t="shared" si="1"/>
        <x:v>6</x:v>
      </x:c>
      <x:c r="D20" t="s">
        <x:v>14</x:v>
      </x:c>
      <x:c r="E20">
        <x:v>799</x:v>
      </x:c>
      <x:c r="F20">
        <x:v>84000</x:v>
      </x:c>
      <x:c r="G20">
        <x:v>1092</x:v>
      </x:c>
      <x:c r="H20">
        <x:v>199</x:v>
      </x:c>
      <x:c r="I20">
        <x:v>0</x:v>
      </x:c>
      <x:c r="J20">
        <x:v>2090</x:v>
      </x:c>
    </x:row>
    <x:row r="21">
      <x:c r="A21" s="134">
        <x:v>45413</x:v>
      </x:c>
      <x:c r="B21" s="1" t="str">
        <x:f t="shared" si="0"/>
        <x:v>May-24</x:v>
      </x:c>
      <x:c r="C21" s="142">
        <x:f t="shared" si="1"/>
        <x:v>5</x:v>
      </x:c>
      <x:c r="D21" t="s">
        <x:v>15</x:v>
      </x:c>
      <x:c r="E21">
        <x:v>299</x:v>
      </x:c>
      <x:c r="F21">
        <x:v>38000</x:v>
      </x:c>
      <x:c r="G21">
        <x:v>494</x:v>
      </x:c>
      <x:c r="H21">
        <x:v>0</x:v>
      </x:c>
      <x:c r="I21">
        <x:v>500</x:v>
      </x:c>
      <x:c r="J21">
        <x:v>1293</x:v>
      </x:c>
    </x:row>
    <x:row r="22">
      <x:c r="A22" s="134">
        <x:v>45444</x:v>
      </x:c>
      <x:c r="B22" s="1" t="str">
        <x:f t="shared" si="0"/>
        <x:v>Jun-24</x:v>
      </x:c>
      <x:c r="C22" s="142">
        <x:f t="shared" si="1"/>
        <x:v>6</x:v>
      </x:c>
      <x:c r="D22" t="s">
        <x:v>15</x:v>
      </x:c>
      <x:c r="E22">
        <x:v>299</x:v>
      </x:c>
      <x:c r="F22">
        <x:v>41000</x:v>
      </x:c>
      <x:c r="G22">
        <x:v>533</x:v>
      </x:c>
      <x:c r="H22">
        <x:v>0</x:v>
      </x:c>
      <x:c r="I22">
        <x:v>0</x:v>
      </x:c>
      <x:c r="J22">
        <x:v>832</x:v>
      </x:c>
    </x:row>
    <x:row r="23">
      <x:c r="A23" s="134">
        <x:v>45444</x:v>
      </x:c>
      <x:c r="B23" s="1" t="str">
        <x:f t="shared" si="0"/>
        <x:v>Jun-24</x:v>
      </x:c>
      <x:c r="C23" s="142">
        <x:f t="shared" si="1"/>
        <x:v>6</x:v>
      </x:c>
      <x:c r="D23" t="s">
        <x:v>16</x:v>
      </x:c>
      <x:c r="E23">
        <x:v>799</x:v>
      </x:c>
      <x:c r="F23">
        <x:v>69000</x:v>
      </x:c>
      <x:c r="G23">
        <x:v>897</x:v>
      </x:c>
      <x:c r="H23">
        <x:v>199</x:v>
      </x:c>
      <x:c r="I23">
        <x:v>700</x:v>
      </x:c>
      <x:c r="J23">
        <x:v>2595</x:v>
      </x:c>
    </x:row>
  </x:sheetData>
  <x:pageMargins left="0.7" right="0.7" top="0.75" bottom="0.75" header="0.3" footer="0.3"/>
  <x:tableParts count="1">
    <x:tablePart xmlns:r="http://schemas.openxmlformats.org/officeDocument/2006/relationships" r:id="R4523ef8af0e6477d"/>
  </x:tableParts>
</x:worksheet>
</file>

<file path=xl/worksheets/sheet3.xml><?xml version="1.0" encoding="utf-8"?>
<x:worksheet xmlns:x="http://schemas.openxmlformats.org/spreadsheetml/2006/main">
  <x:sheetFormatPr defaultRowHeight="14.399999618530273"/>
  <x:cols>
    <x:col min="1" max="1" width="14.21875" customWidth="1"/>
    <x:col min="2" max="2" width="17.33203125" customWidth="1"/>
  </x:cols>
  <x:sheetData>
    <x:row r="1">
      <x:c r="A1" s="67" t="s">
        <x:v>4</x:v>
      </x:c>
      <x:c r="B1" s="67" t="s">
        <x:v>17</x:v>
      </x:c>
    </x:row>
    <x:row r="2" ht="28.799999237060547">
      <x:c r="A2" s="2" t="s">
        <x:v>11</x:v>
      </x:c>
      <x:c r="B2" s="2" t="s">
        <x:v>18</x:v>
      </x:c>
    </x:row>
    <x:row r="3" ht="28.799999237060547">
      <x:c r="A3" s="2" t="s">
        <x:v>12</x:v>
      </x:c>
      <x:c r="B3" s="2" t="s">
        <x:v>19</x:v>
      </x:c>
    </x:row>
    <x:row r="4" ht="28.799999237060547">
      <x:c r="A4" s="2" t="s">
        <x:v>13</x:v>
      </x:c>
      <x:c r="B4" s="2" t="s">
        <x:v>20</x:v>
      </x:c>
    </x:row>
    <x:row r="5" ht="43.20000076293945">
      <x:c r="A5" s="2" t="s">
        <x:v>14</x:v>
      </x:c>
      <x:c r="B5" s="2" t="s">
        <x:v>21</x:v>
      </x:c>
    </x:row>
    <x:row r="6" ht="28.799999237060547">
      <x:c r="A6" s="2" t="s">
        <x:v>15</x:v>
      </x:c>
      <x:c r="B6" s="2" t="s">
        <x:v>22</x:v>
      </x:c>
    </x:row>
    <x:row r="7" ht="28.799999237060547">
      <x:c r="A7" s="2" t="s">
        <x:v>16</x:v>
      </x:c>
      <x:c r="B7" s="2" t="s">
        <x:v>23</x:v>
      </x:c>
    </x:row>
    <x:row r="8">
      <x:c r="A8" s="2"/>
      <x:c r="B8" s="2"/>
    </x:row>
  </x:sheetData>
  <x:pageMargins left="0.7" right="0.7" top="0.75" bottom="0.75" header="0.3" footer="0.3"/>
  <x:tableParts count="1">
    <x:tablePart xmlns:r="http://schemas.openxmlformats.org/officeDocument/2006/relationships" r:id="Ra66a9d7cff274c5e"/>
  </x:tableParts>
</x:worksheet>
</file>

<file path=xl/worksheets/sheet4.xml><?xml version="1.0" encoding="utf-8"?>
<x:worksheet xmlns:x="http://schemas.openxmlformats.org/spreadsheetml/2006/main">
  <x:sheetFormatPr defaultRowHeight="14.399999618530273"/>
  <x:cols>
    <x:col min="1" max="1" width="13.0600004196167" hidden="0" customWidth="1"/>
    <x:col min="2" max="2" width="13.460000038146973" hidden="0" customWidth="1"/>
    <x:col min="3" max="3" width="15.880000114440918" hidden="0" customWidth="1"/>
    <x:col min="4" max="4" width="12.649999618530273" hidden="0" customWidth="1"/>
  </x:cols>
  <x:sheetData>
    <x:row r="1">
      <x:c r="A1" t="s">
        <x:v>24</x:v>
      </x:c>
      <x:c r="B1" t="s">
        <x:v>2</x:v>
      </x:c>
      <x:c r="C1" t="s">
        <x:v>3</x:v>
      </x:c>
      <x:c r="D1" t="s">
        <x:v>25</x:v>
      </x:c>
    </x:row>
    <x:row r="2">
      <x:c r="A2" s="134" t="n">
        <x:f>DATE(2024,1,1)</x:f>
        <x:v>45292</x:v>
      </x:c>
      <x:c r="B2" s="4" t="str">
        <x:f>TEXT(A2,"mmm-yy")</x:f>
        <x:v>Jan-24</x:v>
      </x:c>
      <x:c r="C2" s="144" t="n">
        <x:f>MONTH(A2)</x:f>
        <x:v>1</x:v>
      </x:c>
      <x:c r="D2" s="144" t="n">
        <x:f>YEAR(A2)*100+MONTH(A2)</x:f>
        <x:v>202401</x:v>
      </x:c>
    </x:row>
    <x:row r="3">
      <x:c r="A3" s="136" t="n">
        <x:f>EDATE(A2,1)</x:f>
        <x:v>45323</x:v>
      </x:c>
      <x:c r="B3" s="4" t="str">
        <x:f t="shared" ref="B3:B7" si="0">TEXT(A3,"mmm-yy")</x:f>
        <x:v>Feb-24</x:v>
      </x:c>
      <x:c r="C3" s="144" t="n">
        <x:f t="shared" ref="C3:C7" si="1">MONTH(A3)</x:f>
        <x:v>2</x:v>
      </x:c>
      <x:c r="D3" s="144" t="n">
        <x:f t="shared" ref="D3:D7" si="2">YEAR(A3)*100+MONTH(A3)</x:f>
        <x:v>202402</x:v>
      </x:c>
    </x:row>
    <x:row r="4">
      <x:c r="A4" s="136" t="n">
        <x:f t="shared" ref="A4:A7" si="3">EDATE(A3,1)</x:f>
        <x:v>45352</x:v>
      </x:c>
      <x:c r="B4" s="4" t="str">
        <x:f t="shared" si="0"/>
        <x:v>Mar-24</x:v>
      </x:c>
      <x:c r="C4" s="144">
        <x:f t="shared" si="1"/>
        <x:v>3</x:v>
      </x:c>
      <x:c r="D4" s="144">
        <x:f t="shared" si="2"/>
        <x:v>202403</x:v>
      </x:c>
    </x:row>
    <x:row r="5">
      <x:c r="A5" s="136">
        <x:f t="shared" si="3"/>
        <x:v>45383</x:v>
      </x:c>
      <x:c r="B5" s="4" t="str">
        <x:f t="shared" si="0"/>
        <x:v>Apr-24</x:v>
      </x:c>
      <x:c r="C5" s="144">
        <x:f t="shared" si="1"/>
        <x:v>4</x:v>
      </x:c>
      <x:c r="D5" s="144">
        <x:f t="shared" si="2"/>
        <x:v>202404</x:v>
      </x:c>
    </x:row>
    <x:row r="6">
      <x:c r="A6" s="136">
        <x:f t="shared" si="3"/>
        <x:v>45413</x:v>
      </x:c>
      <x:c r="B6" s="4" t="str">
        <x:f t="shared" si="0"/>
        <x:v>May-24</x:v>
      </x:c>
      <x:c r="C6" s="144">
        <x:f t="shared" si="1"/>
        <x:v>5</x:v>
      </x:c>
      <x:c r="D6" s="144">
        <x:f t="shared" si="2"/>
        <x:v>202405</x:v>
      </x:c>
    </x:row>
    <x:row r="7">
      <x:c r="A7" s="136">
        <x:f t="shared" si="3"/>
        <x:v>45444</x:v>
      </x:c>
      <x:c r="B7" s="4" t="str">
        <x:f t="shared" si="0"/>
        <x:v>Jun-24</x:v>
      </x:c>
      <x:c r="C7" s="144">
        <x:f t="shared" si="1"/>
        <x:v>6</x:v>
      </x:c>
      <x:c r="D7" s="144">
        <x:f t="shared" si="2"/>
        <x:v>202406</x:v>
      </x:c>
    </x:row>
    <x:row r="8">
      <x:c r="A8" s="1"/>
    </x:row>
  </x:sheetData>
  <x:pageMargins left="0.7" right="0.7" top="0.75" bottom="0.75" header="0.3" footer="0.3"/>
  <x:tableParts count="1">
    <x:tablePart xmlns:r="http://schemas.openxmlformats.org/officeDocument/2006/relationships" r:id="R525043f83c914cb0"/>
  </x:tableParts>
</x:worksheet>
</file>

<file path=xl/worksheets/sheet5.xml><?xml version="1.0" encoding="utf-8"?>
<x:worksheet xmlns:x="http://schemas.openxmlformats.org/spreadsheetml/2006/main">
  <x:sheetFormatPr defaultRowHeight="14.399999618530273"/>
  <x:cols>
    <x:col min="2" max="2" width="13.460000038146973" hidden="0" customWidth="1"/>
    <x:col min="3" max="3" width="15.880000114440918" style="63" hidden="0" customWidth="1"/>
    <x:col min="4" max="4" width="14.539999961853027" hidden="0" customWidth="1"/>
    <x:col min="5" max="5" width="17.88671875" customWidth="1"/>
    <x:col min="6" max="6" width="16.33203125" customWidth="1"/>
    <x:col min="7" max="7" width="15.88671875" customWidth="1"/>
    <x:col min="9" max="9" width="11.33203125" customWidth="1"/>
    <x:col min="1" max="1" width="8.210000038146973" hidden="0" customWidth="1"/>
  </x:cols>
  <x:sheetData>
    <x:row r="1">
      <x:c r="A1" t="s">
        <x:v>1</x:v>
      </x:c>
      <x:c r="B1" t="s">
        <x:v>2</x:v>
      </x:c>
      <x:c r="C1" s="63" t="s">
        <x:v>3</x:v>
      </x:c>
      <x:c r="D1" t="s">
        <x:v>26</x:v>
      </x:c>
      <x:c r="E1" t="s">
        <x:v>27</x:v>
      </x:c>
      <x:c r="F1" t="s">
        <x:v>28</x:v>
      </x:c>
      <x:c r="G1" t="s">
        <x:v>29</x:v>
      </x:c>
      <x:c r="H1" t="s">
        <x:v>30</x:v>
      </x:c>
      <x:c r="I1" t="s">
        <x:v>31</x:v>
      </x:c>
    </x:row>
    <x:row r="2">
      <x:c r="A2" s="134">
        <x:v>45292</x:v>
      </x:c>
      <x:c r="B2" s="1" t="str">
        <x:f t="shared" ref="B2:B37" si="0">TEXT(A2,"mmm-yy")</x:f>
        <x:v>Jan-24</x:v>
      </x:c>
      <x:c r="C2" s="142" t="n">
        <x:f t="shared" ref="C2:C37" si="1">MONTH(A2)</x:f>
        <x:v>1</x:v>
      </x:c>
      <x:c r="D2" t="s">
        <x:v>32</x:v>
      </x:c>
      <x:c r="E2" t="s">
        <x:v>33</x:v>
      </x:c>
      <x:c r="F2">
        <x:v>12000</x:v>
      </x:c>
      <x:c r="G2">
        <x:v>12000</x:v>
      </x:c>
      <x:c r="H2" t="s">
        <x:v>34</x:v>
      </x:c>
      <x:c r="I2" t="s">
        <x:v>35</x:v>
      </x:c>
    </x:row>
    <x:row r="3">
      <x:c r="A3" s="134">
        <x:v>45292</x:v>
      </x:c>
      <x:c r="B3" s="1" t="str">
        <x:f t="shared" si="0"/>
        <x:v>Jan-24</x:v>
      </x:c>
      <x:c r="C3" s="142">
        <x:f t="shared" si="1"/>
        <x:v>1</x:v>
      </x:c>
      <x:c r="D3" t="s">
        <x:v>36</x:v>
      </x:c>
      <x:c r="E3" t="s">
        <x:v>37</x:v>
      </x:c>
      <x:c r="F3">
        <x:v>8000</x:v>
      </x:c>
      <x:c r="G3">
        <x:v>9200</x:v>
      </x:c>
      <x:c r="H3" t="s">
        <x:v>38</x:v>
      </x:c>
      <x:c r="I3" t="s">
        <x:v>39</x:v>
      </x:c>
    </x:row>
    <x:row r="4">
      <x:c r="A4" s="134">
        <x:v>45292</x:v>
      </x:c>
      <x:c r="B4" s="1" t="str">
        <x:f t="shared" si="0"/>
        <x:v>Jan-24</x:v>
      </x:c>
      <x:c r="C4" s="142">
        <x:f t="shared" si="1"/>
        <x:v>1</x:v>
      </x:c>
      <x:c r="D4" t="s">
        <x:v>40</x:v>
      </x:c>
      <x:c r="E4" t="s">
        <x:v>41</x:v>
      </x:c>
      <x:c r="F4">
        <x:v>4500</x:v>
      </x:c>
      <x:c r="G4">
        <x:v>5100</x:v>
      </x:c>
      <x:c r="H4" t="s">
        <x:v>42</x:v>
      </x:c>
      <x:c r="I4" t="s">
        <x:v>39</x:v>
      </x:c>
    </x:row>
    <x:row r="5">
      <x:c r="A5" s="134">
        <x:v>45292</x:v>
      </x:c>
      <x:c r="B5" s="1" t="str">
        <x:f t="shared" si="0"/>
        <x:v>Jan-24</x:v>
      </x:c>
      <x:c r="C5" s="142">
        <x:f t="shared" si="1"/>
        <x:v>1</x:v>
      </x:c>
      <x:c r="D5" t="s">
        <x:v>43</x:v>
      </x:c>
      <x:c r="E5" t="s">
        <x:v>44</x:v>
      </x:c>
      <x:c r="F5">
        <x:v>2500</x:v>
      </x:c>
      <x:c r="G5">
        <x:v>2400</x:v>
      </x:c>
      <x:c r="H5" t="s">
        <x:v>45</x:v>
      </x:c>
      <x:c r="I5" t="s">
        <x:v>35</x:v>
      </x:c>
    </x:row>
    <x:row r="6">
      <x:c r="A6" s="134">
        <x:v>45292</x:v>
      </x:c>
      <x:c r="B6" s="1" t="str">
        <x:f t="shared" si="0"/>
        <x:v>Jan-24</x:v>
      </x:c>
      <x:c r="C6" s="142">
        <x:f t="shared" si="1"/>
        <x:v>1</x:v>
      </x:c>
      <x:c r="D6" t="s">
        <x:v>46</x:v>
      </x:c>
      <x:c r="E6" t="s">
        <x:v>47</x:v>
      </x:c>
      <x:c r="F6">
        <x:v>3000</x:v>
      </x:c>
      <x:c r="G6">
        <x:v>3150</x:v>
      </x:c>
      <x:c r="H6" t="s">
        <x:v>48</x:v>
      </x:c>
      <x:c r="I6" t="s">
        <x:v>35</x:v>
      </x:c>
    </x:row>
    <x:row r="7">
      <x:c r="A7" s="134">
        <x:v>45292</x:v>
      </x:c>
      <x:c r="B7" s="1" t="str">
        <x:f t="shared" si="0"/>
        <x:v>Jan-24</x:v>
      </x:c>
      <x:c r="C7" s="142">
        <x:f t="shared" si="1"/>
        <x:v>1</x:v>
      </x:c>
      <x:c r="D7" t="s">
        <x:v>49</x:v>
      </x:c>
      <x:c r="E7" t="s">
        <x:v>50</x:v>
      </x:c>
      <x:c r="F7">
        <x:v>6000</x:v>
      </x:c>
      <x:c r="G7">
        <x:v>6000</x:v>
      </x:c>
      <x:c r="H7" t="s">
        <x:v>51</x:v>
      </x:c>
      <x:c r="I7" t="s">
        <x:v>35</x:v>
      </x:c>
    </x:row>
    <x:row r="8">
      <x:c r="A8" s="134">
        <x:v>45323</x:v>
      </x:c>
      <x:c r="B8" s="1" t="str">
        <x:f t="shared" si="0"/>
        <x:v>Feb-24</x:v>
      </x:c>
      <x:c r="C8" s="142">
        <x:f t="shared" si="1"/>
        <x:v>2</x:v>
      </x:c>
      <x:c r="D8" t="s">
        <x:v>32</x:v>
      </x:c>
      <x:c r="E8" t="s">
        <x:v>33</x:v>
      </x:c>
      <x:c r="F8">
        <x:v>12000</x:v>
      </x:c>
      <x:c r="G8">
        <x:v>12200</x:v>
      </x:c>
      <x:c r="H8" t="s">
        <x:v>34</x:v>
      </x:c>
      <x:c r="I8" t="s">
        <x:v>35</x:v>
      </x:c>
    </x:row>
    <x:row r="9">
      <x:c r="A9" s="134">
        <x:v>45323</x:v>
      </x:c>
      <x:c r="B9" s="1" t="str">
        <x:f t="shared" si="0"/>
        <x:v>Feb-24</x:v>
      </x:c>
      <x:c r="C9" s="142">
        <x:f t="shared" si="1"/>
        <x:v>2</x:v>
      </x:c>
      <x:c r="D9" t="s">
        <x:v>36</x:v>
      </x:c>
      <x:c r="E9" t="s">
        <x:v>37</x:v>
      </x:c>
      <x:c r="F9">
        <x:v>8500</x:v>
      </x:c>
      <x:c r="G9">
        <x:v>8700</x:v>
      </x:c>
      <x:c r="H9" t="s">
        <x:v>38</x:v>
      </x:c>
      <x:c r="I9" t="s">
        <x:v>39</x:v>
      </x:c>
    </x:row>
    <x:row r="10">
      <x:c r="A10" s="134">
        <x:v>45323</x:v>
      </x:c>
      <x:c r="B10" s="1" t="str">
        <x:f t="shared" si="0"/>
        <x:v>Feb-24</x:v>
      </x:c>
      <x:c r="C10" s="142">
        <x:f t="shared" si="1"/>
        <x:v>2</x:v>
      </x:c>
      <x:c r="D10" t="s">
        <x:v>40</x:v>
      </x:c>
      <x:c r="E10" t="s">
        <x:v>41</x:v>
      </x:c>
      <x:c r="F10">
        <x:v>4700</x:v>
      </x:c>
      <x:c r="G10">
        <x:v>5350</x:v>
      </x:c>
      <x:c r="H10" t="s">
        <x:v>42</x:v>
      </x:c>
      <x:c r="I10" t="s">
        <x:v>39</x:v>
      </x:c>
    </x:row>
    <x:row r="11">
      <x:c r="A11" s="134">
        <x:v>45323</x:v>
      </x:c>
      <x:c r="B11" s="1" t="str">
        <x:f t="shared" si="0"/>
        <x:v>Feb-24</x:v>
      </x:c>
      <x:c r="C11" s="142">
        <x:f t="shared" si="1"/>
        <x:v>2</x:v>
      </x:c>
      <x:c r="D11" t="s">
        <x:v>43</x:v>
      </x:c>
      <x:c r="E11" t="s">
        <x:v>44</x:v>
      </x:c>
      <x:c r="F11">
        <x:v>2500</x:v>
      </x:c>
      <x:c r="G11">
        <x:v>2550</x:v>
      </x:c>
      <x:c r="H11" t="s">
        <x:v>45</x:v>
      </x:c>
      <x:c r="I11" t="s">
        <x:v>35</x:v>
      </x:c>
    </x:row>
    <x:row r="12">
      <x:c r="A12" s="134">
        <x:v>45323</x:v>
      </x:c>
      <x:c r="B12" s="1" t="str">
        <x:f t="shared" si="0"/>
        <x:v>Feb-24</x:v>
      </x:c>
      <x:c r="C12" s="142">
        <x:f t="shared" si="1"/>
        <x:v>2</x:v>
      </x:c>
      <x:c r="D12" t="s">
        <x:v>46</x:v>
      </x:c>
      <x:c r="E12" t="s">
        <x:v>47</x:v>
      </x:c>
      <x:c r="F12">
        <x:v>3000</x:v>
      </x:c>
      <x:c r="G12">
        <x:v>3200</x:v>
      </x:c>
      <x:c r="H12" t="s">
        <x:v>48</x:v>
      </x:c>
      <x:c r="I12" t="s">
        <x:v>35</x:v>
      </x:c>
    </x:row>
    <x:row r="13">
      <x:c r="A13" s="134">
        <x:v>45323</x:v>
      </x:c>
      <x:c r="B13" s="1" t="str">
        <x:f t="shared" si="0"/>
        <x:v>Feb-24</x:v>
      </x:c>
      <x:c r="C13" s="142">
        <x:f t="shared" si="1"/>
        <x:v>2</x:v>
      </x:c>
      <x:c r="D13" t="s">
        <x:v>49</x:v>
      </x:c>
      <x:c r="E13" t="s">
        <x:v>50</x:v>
      </x:c>
      <x:c r="F13">
        <x:v>6000</x:v>
      </x:c>
      <x:c r="G13">
        <x:v>6000</x:v>
      </x:c>
      <x:c r="H13" t="s">
        <x:v>51</x:v>
      </x:c>
      <x:c r="I13" t="s">
        <x:v>35</x:v>
      </x:c>
    </x:row>
    <x:row r="14">
      <x:c r="A14" s="134">
        <x:v>45352</x:v>
      </x:c>
      <x:c r="B14" s="1" t="str">
        <x:f t="shared" si="0"/>
        <x:v>Mar-24</x:v>
      </x:c>
      <x:c r="C14" s="142">
        <x:f t="shared" si="1"/>
        <x:v>3</x:v>
      </x:c>
      <x:c r="D14" t="s">
        <x:v>32</x:v>
      </x:c>
      <x:c r="E14" t="s">
        <x:v>33</x:v>
      </x:c>
      <x:c r="F14">
        <x:v>12500</x:v>
      </x:c>
      <x:c r="G14">
        <x:v>12600</x:v>
      </x:c>
      <x:c r="H14" t="s">
        <x:v>34</x:v>
      </x:c>
      <x:c r="I14" t="s">
        <x:v>35</x:v>
      </x:c>
    </x:row>
    <x:row r="15">
      <x:c r="A15" s="134">
        <x:v>45352</x:v>
      </x:c>
      <x:c r="B15" s="1" t="str">
        <x:f t="shared" si="0"/>
        <x:v>Mar-24</x:v>
      </x:c>
      <x:c r="C15" s="142">
        <x:f t="shared" si="1"/>
        <x:v>3</x:v>
      </x:c>
      <x:c r="D15" t="s">
        <x:v>36</x:v>
      </x:c>
      <x:c r="E15" t="s">
        <x:v>37</x:v>
      </x:c>
      <x:c r="F15">
        <x:v>9000</x:v>
      </x:c>
      <x:c r="G15">
        <x:v>10300</x:v>
      </x:c>
      <x:c r="H15" t="s">
        <x:v>38</x:v>
      </x:c>
      <x:c r="I15" t="s">
        <x:v>39</x:v>
      </x:c>
    </x:row>
    <x:row r="16">
      <x:c r="A16" s="134">
        <x:v>45352</x:v>
      </x:c>
      <x:c r="B16" s="1" t="str">
        <x:f t="shared" si="0"/>
        <x:v>Mar-24</x:v>
      </x:c>
      <x:c r="C16" s="142">
        <x:f t="shared" si="1"/>
        <x:v>3</x:v>
      </x:c>
      <x:c r="D16" t="s">
        <x:v>40</x:v>
      </x:c>
      <x:c r="E16" t="s">
        <x:v>41</x:v>
      </x:c>
      <x:c r="F16">
        <x:v>5000</x:v>
      </x:c>
      <x:c r="G16">
        <x:v>5750</x:v>
      </x:c>
      <x:c r="H16" t="s">
        <x:v>42</x:v>
      </x:c>
      <x:c r="I16" t="s">
        <x:v>39</x:v>
      </x:c>
    </x:row>
    <x:row r="17">
      <x:c r="A17" s="134">
        <x:v>45352</x:v>
      </x:c>
      <x:c r="B17" s="1" t="str">
        <x:f t="shared" si="0"/>
        <x:v>Mar-24</x:v>
      </x:c>
      <x:c r="C17" s="142">
        <x:f t="shared" si="1"/>
        <x:v>3</x:v>
      </x:c>
      <x:c r="D17" t="s">
        <x:v>43</x:v>
      </x:c>
      <x:c r="E17" t="s">
        <x:v>44</x:v>
      </x:c>
      <x:c r="F17">
        <x:v>2600</x:v>
      </x:c>
      <x:c r="G17">
        <x:v>2650</x:v>
      </x:c>
      <x:c r="H17" t="s">
        <x:v>45</x:v>
      </x:c>
      <x:c r="I17" t="s">
        <x:v>35</x:v>
      </x:c>
    </x:row>
    <x:row r="18">
      <x:c r="A18" s="134">
        <x:v>45352</x:v>
      </x:c>
      <x:c r="B18" s="1" t="str">
        <x:f t="shared" si="0"/>
        <x:v>Mar-24</x:v>
      </x:c>
      <x:c r="C18" s="142">
        <x:f t="shared" si="1"/>
        <x:v>3</x:v>
      </x:c>
      <x:c r="D18" t="s">
        <x:v>46</x:v>
      </x:c>
      <x:c r="E18" t="s">
        <x:v>47</x:v>
      </x:c>
      <x:c r="F18">
        <x:v>3200</x:v>
      </x:c>
      <x:c r="G18">
        <x:v>3350</x:v>
      </x:c>
      <x:c r="H18" t="s">
        <x:v>48</x:v>
      </x:c>
      <x:c r="I18" t="s">
        <x:v>35</x:v>
      </x:c>
    </x:row>
    <x:row r="19">
      <x:c r="A19" s="134">
        <x:v>45352</x:v>
      </x:c>
      <x:c r="B19" s="1" t="str">
        <x:f t="shared" si="0"/>
        <x:v>Mar-24</x:v>
      </x:c>
      <x:c r="C19" s="142">
        <x:f t="shared" si="1"/>
        <x:v>3</x:v>
      </x:c>
      <x:c r="D19" t="s">
        <x:v>49</x:v>
      </x:c>
      <x:c r="E19" t="s">
        <x:v>52</x:v>
      </x:c>
      <x:c r="F19">
        <x:v>4000</x:v>
      </x:c>
      <x:c r="G19">
        <x:v>4600</x:v>
      </x:c>
      <x:c r="H19" t="s">
        <x:v>53</x:v>
      </x:c>
      <x:c r="I19" t="s">
        <x:v>35</x:v>
      </x:c>
    </x:row>
    <x:row r="20">
      <x:c r="A20" s="134">
        <x:v>45383</x:v>
      </x:c>
      <x:c r="B20" s="1" t="str">
        <x:f t="shared" si="0"/>
        <x:v>Apr-24</x:v>
      </x:c>
      <x:c r="C20" s="142">
        <x:f t="shared" si="1"/>
        <x:v>4</x:v>
      </x:c>
      <x:c r="D20" t="s">
        <x:v>32</x:v>
      </x:c>
      <x:c r="E20" t="s">
        <x:v>33</x:v>
      </x:c>
      <x:c r="F20">
        <x:v>13000</x:v>
      </x:c>
      <x:c r="G20">
        <x:v>13200</x:v>
      </x:c>
      <x:c r="H20" t="s">
        <x:v>34</x:v>
      </x:c>
      <x:c r="I20" t="s">
        <x:v>35</x:v>
      </x:c>
    </x:row>
    <x:row r="21">
      <x:c r="A21" s="134">
        <x:v>45383</x:v>
      </x:c>
      <x:c r="B21" s="1" t="str">
        <x:f t="shared" si="0"/>
        <x:v>Apr-24</x:v>
      </x:c>
      <x:c r="C21" s="142">
        <x:f t="shared" si="1"/>
        <x:v>4</x:v>
      </x:c>
      <x:c r="D21" t="s">
        <x:v>36</x:v>
      </x:c>
      <x:c r="E21" t="s">
        <x:v>37</x:v>
      </x:c>
      <x:c r="F21">
        <x:v>9500</x:v>
      </x:c>
      <x:c r="G21">
        <x:v>9800</x:v>
      </x:c>
      <x:c r="H21" t="s">
        <x:v>38</x:v>
      </x:c>
      <x:c r="I21" t="s">
        <x:v>39</x:v>
      </x:c>
    </x:row>
    <x:row r="22">
      <x:c r="A22" s="134">
        <x:v>45383</x:v>
      </x:c>
      <x:c r="B22" s="1" t="str">
        <x:f t="shared" si="0"/>
        <x:v>Apr-24</x:v>
      </x:c>
      <x:c r="C22" s="142">
        <x:f t="shared" si="1"/>
        <x:v>4</x:v>
      </x:c>
      <x:c r="D22" t="s">
        <x:v>40</x:v>
      </x:c>
      <x:c r="E22" t="s">
        <x:v>41</x:v>
      </x:c>
      <x:c r="F22">
        <x:v>5200</x:v>
      </x:c>
      <x:c r="G22">
        <x:v>6100</x:v>
      </x:c>
      <x:c r="H22" t="s">
        <x:v>42</x:v>
      </x:c>
      <x:c r="I22" t="s">
        <x:v>39</x:v>
      </x:c>
    </x:row>
    <x:row r="23">
      <x:c r="A23" s="134">
        <x:v>45383</x:v>
      </x:c>
      <x:c r="B23" s="1" t="str">
        <x:f t="shared" si="0"/>
        <x:v>Apr-24</x:v>
      </x:c>
      <x:c r="C23" s="142">
        <x:f t="shared" si="1"/>
        <x:v>4</x:v>
      </x:c>
      <x:c r="D23" t="s">
        <x:v>43</x:v>
      </x:c>
      <x:c r="E23" t="s">
        <x:v>44</x:v>
      </x:c>
      <x:c r="F23">
        <x:v>2700</x:v>
      </x:c>
      <x:c r="G23">
        <x:v>2800</x:v>
      </x:c>
      <x:c r="H23" t="s">
        <x:v>45</x:v>
      </x:c>
      <x:c r="I23" t="s">
        <x:v>35</x:v>
      </x:c>
    </x:row>
    <x:row r="24">
      <x:c r="A24" s="134">
        <x:v>45383</x:v>
      </x:c>
      <x:c r="B24" s="1" t="str">
        <x:f t="shared" si="0"/>
        <x:v>Apr-24</x:v>
      </x:c>
      <x:c r="C24" s="142">
        <x:f t="shared" si="1"/>
        <x:v>4</x:v>
      </x:c>
      <x:c r="D24" t="s">
        <x:v>46</x:v>
      </x:c>
      <x:c r="E24" t="s">
        <x:v>47</x:v>
      </x:c>
      <x:c r="F24">
        <x:v>3300</x:v>
      </x:c>
      <x:c r="G24">
        <x:v>3450</x:v>
      </x:c>
      <x:c r="H24" t="s">
        <x:v>48</x:v>
      </x:c>
      <x:c r="I24" t="s">
        <x:v>35</x:v>
      </x:c>
    </x:row>
    <x:row r="25">
      <x:c r="A25" s="134">
        <x:v>45383</x:v>
      </x:c>
      <x:c r="B25" s="1" t="str">
        <x:f t="shared" si="0"/>
        <x:v>Apr-24</x:v>
      </x:c>
      <x:c r="C25" s="142">
        <x:f t="shared" si="1"/>
        <x:v>4</x:v>
      </x:c>
      <x:c r="D25" t="s">
        <x:v>49</x:v>
      </x:c>
      <x:c r="E25" t="s">
        <x:v>50</x:v>
      </x:c>
      <x:c r="F25">
        <x:v>6200</x:v>
      </x:c>
      <x:c r="G25">
        <x:v>6200</x:v>
      </x:c>
      <x:c r="H25" t="s">
        <x:v>51</x:v>
      </x:c>
      <x:c r="I25" t="s">
        <x:v>35</x:v>
      </x:c>
    </x:row>
    <x:row r="26">
      <x:c r="A26" s="134">
        <x:v>45413</x:v>
      </x:c>
      <x:c r="B26" s="1" t="str">
        <x:f t="shared" si="0"/>
        <x:v>May-24</x:v>
      </x:c>
      <x:c r="C26" s="142">
        <x:f t="shared" si="1"/>
        <x:v>5</x:v>
      </x:c>
      <x:c r="D26" t="s">
        <x:v>32</x:v>
      </x:c>
      <x:c r="E26" t="s">
        <x:v>33</x:v>
      </x:c>
      <x:c r="F26">
        <x:v>13500</x:v>
      </x:c>
      <x:c r="G26">
        <x:v>13750</x:v>
      </x:c>
      <x:c r="H26" t="s">
        <x:v>34</x:v>
      </x:c>
      <x:c r="I26" t="s">
        <x:v>35</x:v>
      </x:c>
    </x:row>
    <x:row r="27">
      <x:c r="A27" s="134">
        <x:v>45413</x:v>
      </x:c>
      <x:c r="B27" s="1" t="str">
        <x:f t="shared" si="0"/>
        <x:v>May-24</x:v>
      </x:c>
      <x:c r="C27" s="142">
        <x:f t="shared" si="1"/>
        <x:v>5</x:v>
      </x:c>
      <x:c r="D27" t="s">
        <x:v>36</x:v>
      </x:c>
      <x:c r="E27" t="s">
        <x:v>37</x:v>
      </x:c>
      <x:c r="F27">
        <x:v>10000</x:v>
      </x:c>
      <x:c r="G27">
        <x:v>11600</x:v>
      </x:c>
      <x:c r="H27" t="s">
        <x:v>38</x:v>
      </x:c>
      <x:c r="I27" t="s">
        <x:v>39</x:v>
      </x:c>
    </x:row>
    <x:row r="28">
      <x:c r="A28" s="134">
        <x:v>45413</x:v>
      </x:c>
      <x:c r="B28" s="1" t="str">
        <x:f t="shared" si="0"/>
        <x:v>May-24</x:v>
      </x:c>
      <x:c r="C28" s="142">
        <x:f t="shared" si="1"/>
        <x:v>5</x:v>
      </x:c>
      <x:c r="D28" t="s">
        <x:v>40</x:v>
      </x:c>
      <x:c r="E28" t="s">
        <x:v>41</x:v>
      </x:c>
      <x:c r="F28">
        <x:v>5500</x:v>
      </x:c>
      <x:c r="G28">
        <x:v>6500</x:v>
      </x:c>
      <x:c r="H28" t="s">
        <x:v>42</x:v>
      </x:c>
      <x:c r="I28" t="s">
        <x:v>39</x:v>
      </x:c>
    </x:row>
    <x:row r="29">
      <x:c r="A29" s="134">
        <x:v>45413</x:v>
      </x:c>
      <x:c r="B29" s="1" t="str">
        <x:f t="shared" si="0"/>
        <x:v>May-24</x:v>
      </x:c>
      <x:c r="C29" s="142">
        <x:f t="shared" si="1"/>
        <x:v>5</x:v>
      </x:c>
      <x:c r="D29" t="s">
        <x:v>43</x:v>
      </x:c>
      <x:c r="E29" t="s">
        <x:v>44</x:v>
      </x:c>
      <x:c r="F29">
        <x:v>2800</x:v>
      </x:c>
      <x:c r="G29">
        <x:v>2900</x:v>
      </x:c>
      <x:c r="H29" t="s">
        <x:v>45</x:v>
      </x:c>
      <x:c r="I29" t="s">
        <x:v>35</x:v>
      </x:c>
    </x:row>
    <x:row r="30">
      <x:c r="A30" s="134">
        <x:v>45413</x:v>
      </x:c>
      <x:c r="B30" s="1" t="str">
        <x:f t="shared" si="0"/>
        <x:v>May-24</x:v>
      </x:c>
      <x:c r="C30" s="142">
        <x:f t="shared" si="1"/>
        <x:v>5</x:v>
      </x:c>
      <x:c r="D30" t="s">
        <x:v>46</x:v>
      </x:c>
      <x:c r="E30" t="s">
        <x:v>47</x:v>
      </x:c>
      <x:c r="F30">
        <x:v>3500</x:v>
      </x:c>
      <x:c r="G30">
        <x:v>3650</x:v>
      </x:c>
      <x:c r="H30" t="s">
        <x:v>48</x:v>
      </x:c>
      <x:c r="I30" t="s">
        <x:v>35</x:v>
      </x:c>
    </x:row>
    <x:row r="31">
      <x:c r="A31" s="134">
        <x:v>45413</x:v>
      </x:c>
      <x:c r="B31" s="1" t="str">
        <x:f t="shared" si="0"/>
        <x:v>May-24</x:v>
      </x:c>
      <x:c r="C31" s="142">
        <x:f t="shared" si="1"/>
        <x:v>5</x:v>
      </x:c>
      <x:c r="D31" t="s">
        <x:v>49</x:v>
      </x:c>
      <x:c r="E31" t="s">
        <x:v>50</x:v>
      </x:c>
      <x:c r="F31">
        <x:v>6200</x:v>
      </x:c>
      <x:c r="G31">
        <x:v>6200</x:v>
      </x:c>
      <x:c r="H31" t="s">
        <x:v>51</x:v>
      </x:c>
      <x:c r="I31" t="s">
        <x:v>35</x:v>
      </x:c>
    </x:row>
    <x:row r="32">
      <x:c r="A32" s="134">
        <x:v>45444</x:v>
      </x:c>
      <x:c r="B32" s="1" t="str">
        <x:f t="shared" si="0"/>
        <x:v>Jun-24</x:v>
      </x:c>
      <x:c r="C32" s="142">
        <x:f t="shared" si="1"/>
        <x:v>6</x:v>
      </x:c>
      <x:c r="D32" t="s">
        <x:v>32</x:v>
      </x:c>
      <x:c r="E32" t="s">
        <x:v>33</x:v>
      </x:c>
      <x:c r="F32">
        <x:v>14000</x:v>
      </x:c>
      <x:c r="G32">
        <x:v>14200</x:v>
      </x:c>
      <x:c r="H32" t="s">
        <x:v>34</x:v>
      </x:c>
      <x:c r="I32" t="s">
        <x:v>35</x:v>
      </x:c>
    </x:row>
    <x:row r="33">
      <x:c r="A33" s="134">
        <x:v>45444</x:v>
      </x:c>
      <x:c r="B33" s="1" t="str">
        <x:f t="shared" si="0"/>
        <x:v>Jun-24</x:v>
      </x:c>
      <x:c r="C33" s="142">
        <x:f t="shared" si="1"/>
        <x:v>6</x:v>
      </x:c>
      <x:c r="D33" t="s">
        <x:v>36</x:v>
      </x:c>
      <x:c r="E33" t="s">
        <x:v>37</x:v>
      </x:c>
      <x:c r="F33">
        <x:v>10500</x:v>
      </x:c>
      <x:c r="G33">
        <x:v>10800</x:v>
      </x:c>
      <x:c r="H33" t="s">
        <x:v>38</x:v>
      </x:c>
      <x:c r="I33" t="s">
        <x:v>39</x:v>
      </x:c>
    </x:row>
    <x:row r="34">
      <x:c r="A34" s="134">
        <x:v>45444</x:v>
      </x:c>
      <x:c r="B34" s="1" t="str">
        <x:f t="shared" si="0"/>
        <x:v>Jun-24</x:v>
      </x:c>
      <x:c r="C34" s="142">
        <x:f t="shared" si="1"/>
        <x:v>6</x:v>
      </x:c>
      <x:c r="D34" t="s">
        <x:v>40</x:v>
      </x:c>
      <x:c r="E34" t="s">
        <x:v>41</x:v>
      </x:c>
      <x:c r="F34">
        <x:v>5800</x:v>
      </x:c>
      <x:c r="G34">
        <x:v>7000</x:v>
      </x:c>
      <x:c r="H34" t="s">
        <x:v>42</x:v>
      </x:c>
      <x:c r="I34" t="s">
        <x:v>39</x:v>
      </x:c>
    </x:row>
    <x:row r="35">
      <x:c r="A35" s="134">
        <x:v>45444</x:v>
      </x:c>
      <x:c r="B35" s="1" t="str">
        <x:f t="shared" si="0"/>
        <x:v>Jun-24</x:v>
      </x:c>
      <x:c r="C35" s="142">
        <x:f t="shared" si="1"/>
        <x:v>6</x:v>
      </x:c>
      <x:c r="D35" t="s">
        <x:v>43</x:v>
      </x:c>
      <x:c r="E35" t="s">
        <x:v>44</x:v>
      </x:c>
      <x:c r="F35">
        <x:v>3000</x:v>
      </x:c>
      <x:c r="G35">
        <x:v>3150</x:v>
      </x:c>
      <x:c r="H35" t="s">
        <x:v>45</x:v>
      </x:c>
      <x:c r="I35" t="s">
        <x:v>35</x:v>
      </x:c>
    </x:row>
    <x:row r="36">
      <x:c r="A36" s="134">
        <x:v>45444</x:v>
      </x:c>
      <x:c r="B36" s="1" t="str">
        <x:f t="shared" si="0"/>
        <x:v>Jun-24</x:v>
      </x:c>
      <x:c r="C36" s="142">
        <x:f t="shared" si="1"/>
        <x:v>6</x:v>
      </x:c>
      <x:c r="D36" t="s">
        <x:v>46</x:v>
      </x:c>
      <x:c r="E36" t="s">
        <x:v>47</x:v>
      </x:c>
      <x:c r="F36">
        <x:v>3600</x:v>
      </x:c>
      <x:c r="G36">
        <x:v>3800</x:v>
      </x:c>
      <x:c r="H36" t="s">
        <x:v>48</x:v>
      </x:c>
      <x:c r="I36" t="s">
        <x:v>35</x:v>
      </x:c>
    </x:row>
    <x:row r="37">
      <x:c r="A37" s="134">
        <x:v>45444</x:v>
      </x:c>
      <x:c r="B37" s="1" t="str">
        <x:f t="shared" si="0"/>
        <x:v>Jun-24</x:v>
      </x:c>
      <x:c r="C37" s="142">
        <x:f t="shared" si="1"/>
        <x:v>6</x:v>
      </x:c>
      <x:c r="D37" t="s">
        <x:v>49</x:v>
      </x:c>
      <x:c r="E37" t="s">
        <x:v>52</x:v>
      </x:c>
      <x:c r="F37">
        <x:v>4200</x:v>
      </x:c>
      <x:c r="G37">
        <x:v>4800</x:v>
      </x:c>
      <x:c r="H37" t="s">
        <x:v>53</x:v>
      </x:c>
      <x:c r="I37" t="s">
        <x:v>35</x:v>
      </x:c>
    </x:row>
  </x:sheetData>
  <x:pageMargins left="0.7" right="0.7" top="0.75" bottom="0.75" header="0.3" footer="0.3"/>
  <x:tableParts count="1">
    <x:tablePart xmlns:r="http://schemas.openxmlformats.org/officeDocument/2006/relationships" r:id="R4ce3a9402a104ce0"/>
  </x:tableParts>
</x:worksheet>
</file>

<file path=xl/worksheets/sheet6.xml><?xml version="1.0" encoding="utf-8"?>
<x:worksheet xmlns:x="http://schemas.openxmlformats.org/spreadsheetml/2006/main">
  <x:sheetFormatPr defaultRowHeight="14.399999618530273"/>
  <x:cols>
    <x:col min="3" max="3" width="15.880000114440918" style="63" hidden="0" customWidth="1"/>
    <x:col min="4" max="4" width="27.59000015258789" hidden="0" customWidth="1"/>
    <x:col min="5" max="5" width="30.6640625" customWidth="1"/>
    <x:col min="6" max="6" width="24.88671875" customWidth="1"/>
    <x:col min="7" max="7" width="25.88671875" customWidth="1"/>
    <x:col min="8" max="8" width="21.33203125" customWidth="1"/>
    <x:col min="9" max="9" width="14.44140625" customWidth="1"/>
    <x:col min="10" max="10" width="26.21875" customWidth="1"/>
    <x:col min="11" max="11" width="15.33203125" customWidth="1"/>
    <x:col min="1" max="1" width="8.210000038146973" hidden="0" customWidth="1"/>
    <x:col min="2" max="2" width="13.460000038146973" hidden="0" customWidth="1"/>
  </x:cols>
  <x:sheetData>
    <x:row r="1">
      <x:c r="A1" t="s">
        <x:v>1</x:v>
      </x:c>
      <x:c r="B1" t="s">
        <x:v>2</x:v>
      </x:c>
      <x:c r="C1" s="63" t="s">
        <x:v>3</x:v>
      </x:c>
      <x:c r="D1" t="s">
        <x:v>54</x:v>
      </x:c>
      <x:c r="E1" t="s">
        <x:v>55</x:v>
      </x:c>
      <x:c r="F1" t="s">
        <x:v>56</x:v>
      </x:c>
      <x:c r="G1" t="s">
        <x:v>57</x:v>
      </x:c>
      <x:c r="H1" t="s">
        <x:v>58</x:v>
      </x:c>
      <x:c r="I1" t="s">
        <x:v>59</x:v>
      </x:c>
      <x:c r="J1" t="s">
        <x:v>60</x:v>
      </x:c>
      <x:c r="K1" t="s">
        <x:v>61</x:v>
      </x:c>
    </x:row>
    <x:row r="2">
      <x:c r="A2" s="134">
        <x:v>45292</x:v>
      </x:c>
      <x:c r="B2" s="1" t="str">
        <x:f t="shared" ref="B2:B7" si="0">TEXT(A2,"mmm-yy")</x:f>
        <x:v>Jan-24</x:v>
      </x:c>
      <x:c r="C2" s="142" t="n">
        <x:f t="shared" ref="C2:C7" si="1">MONTH(A2)</x:f>
        <x:v>1</x:v>
      </x:c>
      <x:c r="D2">
        <x:v>1100</x:v>
      </x:c>
      <x:c r="E2">
        <x:v>1700</x:v>
      </x:c>
      <x:c r="F2">
        <x:v>200</x:v>
      </x:c>
      <x:c r="G2">
        <x:v>1200</x:v>
      </x:c>
      <x:c r="H2">
        <x:v>4200</x:v>
      </x:c>
      <x:c r="I2">
        <x:v>1300</x:v>
      </x:c>
      <x:c r="J2">
        <x:v>36000</x:v>
      </x:c>
      <x:c r="K2">
        <x:v>-33100</x:v>
      </x:c>
    </x:row>
    <x:row r="3">
      <x:c r="A3" s="134">
        <x:v>45323</x:v>
      </x:c>
      <x:c r="B3" s="1" t="str">
        <x:f t="shared" si="0"/>
        <x:v>Feb-24</x:v>
      </x:c>
      <x:c r="C3" s="142">
        <x:f t="shared" si="1"/>
        <x:v>2</x:v>
      </x:c>
      <x:c r="D3">
        <x:v>1100</x:v>
      </x:c>
      <x:c r="E3">
        <x:v>1800</x:v>
      </x:c>
      <x:c r="F3">
        <x:v>200</x:v>
      </x:c>
      <x:c r="G3">
        <x:v>0</x:v>
      </x:c>
      <x:c r="H3">
        <x:v>3100</x:v>
      </x:c>
      <x:c r="I3">
        <x:v>1350</x:v>
      </x:c>
      <x:c r="J3">
        <x:v>36700</x:v>
      </x:c>
      <x:c r="K3">
        <x:v>-34950</x:v>
      </x:c>
    </x:row>
    <x:row r="4">
      <x:c r="A4" s="134">
        <x:v>45352</x:v>
      </x:c>
      <x:c r="B4" s="1" t="str">
        <x:f t="shared" si="0"/>
        <x:v>Mar-24</x:v>
      </x:c>
      <x:c r="C4" s="142">
        <x:f t="shared" si="1"/>
        <x:v>3</x:v>
      </x:c>
      <x:c r="D4">
        <x:v>1400</x:v>
      </x:c>
      <x:c r="E4">
        <x:v>2100</x:v>
      </x:c>
      <x:c r="F4">
        <x:v>250</x:v>
      </x:c>
      <x:c r="G4">
        <x:v>500</x:v>
      </x:c>
      <x:c r="H4">
        <x:v>4250</x:v>
      </x:c>
      <x:c r="I4">
        <x:v>1500</x:v>
      </x:c>
      <x:c r="J4">
        <x:v>38300</x:v>
      </x:c>
      <x:c r="K4">
        <x:v>-35550</x:v>
      </x:c>
    </x:row>
    <x:row r="5">
      <x:c r="A5" s="134">
        <x:v>45383</x:v>
      </x:c>
      <x:c r="B5" s="1" t="str">
        <x:f t="shared" si="0"/>
        <x:v>Apr-24</x:v>
      </x:c>
      <x:c r="C5" s="142">
        <x:f t="shared" si="1"/>
        <x:v>4</x:v>
      </x:c>
      <x:c r="D5">
        <x:v>1900</x:v>
      </x:c>
      <x:c r="E5">
        <x:v>2400</x:v>
      </x:c>
      <x:c r="F5">
        <x:v>400</x:v>
      </x:c>
      <x:c r="G5">
        <x:v>700</x:v>
      </x:c>
      <x:c r="H5">
        <x:v>5400</x:v>
      </x:c>
      <x:c r="I5">
        <x:v>1750</x:v>
      </x:c>
      <x:c r="J5">
        <x:v>40200</x:v>
      </x:c>
      <x:c r="K5">
        <x:v>-36550</x:v>
      </x:c>
    </x:row>
    <x:row r="6">
      <x:c r="A6" s="134">
        <x:v>45413</x:v>
      </x:c>
      <x:c r="B6" s="1" t="str">
        <x:f t="shared" si="0"/>
        <x:v>May-24</x:v>
      </x:c>
      <x:c r="C6" s="142">
        <x:f t="shared" si="1"/>
        <x:v>5</x:v>
      </x:c>
      <x:c r="D6">
        <x:v>2200</x:v>
      </x:c>
      <x:c r="E6">
        <x:v>2800</x:v>
      </x:c>
      <x:c r="F6">
        <x:v>450</x:v>
      </x:c>
      <x:c r="G6">
        <x:v>500</x:v>
      </x:c>
      <x:c r="H6">
        <x:v>5950</x:v>
      </x:c>
      <x:c r="I6">
        <x:v>1950</x:v>
      </x:c>
      <x:c r="J6">
        <x:v>41500</x:v>
      </x:c>
      <x:c r="K6">
        <x:v>-37500</x:v>
      </x:c>
    </x:row>
    <x:row r="7">
      <x:c r="A7" s="134">
        <x:v>45444</x:v>
      </x:c>
      <x:c r="B7" s="1" t="str">
        <x:f t="shared" si="0"/>
        <x:v>Jun-24</x:v>
      </x:c>
      <x:c r="C7" s="142">
        <x:f t="shared" si="1"/>
        <x:v>6</x:v>
      </x:c>
      <x:c r="D7">
        <x:v>2500</x:v>
      </x:c>
      <x:c r="E7">
        <x:v>3200</x:v>
      </x:c>
      <x:c r="F7">
        <x:v>600</x:v>
      </x:c>
      <x:c r="G7">
        <x:v>700</x:v>
      </x:c>
      <x:c r="H7">
        <x:v>7000</x:v>
      </x:c>
      <x:c r="I7">
        <x:v>2200</x:v>
      </x:c>
      <x:c r="J7">
        <x:v>42100</x:v>
      </x:c>
      <x:c r="K7">
        <x:v>-37300</x:v>
      </x:c>
    </x:row>
  </x:sheetData>
  <x:pageMargins left="0.7" right="0.7" top="0.75" bottom="0.75" header="0.3" footer="0.3"/>
  <x:tableParts count="1">
    <x:tablePart xmlns:r="http://schemas.openxmlformats.org/officeDocument/2006/relationships" r:id="Re5bb9e878e7e4992"/>
  </x:tableParts>
</x:worksheet>
</file>

<file path=xl/worksheets/sheet7.xml><?xml version="1.0" encoding="utf-8"?>
<x:worksheet xmlns:x="http://schemas.openxmlformats.org/spreadsheetml/2006/main">
  <x:sheetFormatPr defaultRowHeight="14.399999618530273"/>
  <x:cols>
    <x:col min="3" max="3" width="15.880000114440918" style="63" hidden="0" customWidth="1"/>
    <x:col min="4" max="4" width="17.360000610351562" hidden="0" customWidth="1"/>
    <x:col min="5" max="5" width="16.33203125" customWidth="1"/>
    <x:col min="6" max="6" width="16.109375" customWidth="1"/>
    <x:col min="7" max="7" width="12.33203125" customWidth="1"/>
    <x:col min="8" max="8" width="29.6640625" customWidth="1"/>
    <x:col min="10" max="10" width="14.33203125" customWidth="1"/>
    <x:col min="11" max="11" width="22.44140625" customWidth="1"/>
    <x:col min="1" max="1" width="8.210000038146973" hidden="0" customWidth="1"/>
    <x:col min="2" max="2" width="13.460000038146973" hidden="0" customWidth="1"/>
  </x:cols>
  <x:sheetData>
    <x:row r="1">
      <x:c r="A1" t="s">
        <x:v>1</x:v>
      </x:c>
      <x:c r="B1" t="s">
        <x:v>2</x:v>
      </x:c>
      <x:c r="C1" s="63" t="s">
        <x:v>3</x:v>
      </x:c>
      <x:c r="D1" t="s">
        <x:v>62</x:v>
      </x:c>
      <x:c r="E1" t="s">
        <x:v>63</x:v>
      </x:c>
      <x:c r="F1" t="s">
        <x:v>64</x:v>
      </x:c>
      <x:c r="G1" t="s">
        <x:v>65</x:v>
      </x:c>
      <x:c r="H1" t="s">
        <x:v>66</x:v>
      </x:c>
      <x:c r="I1" t="s">
        <x:v>67</x:v>
      </x:c>
      <x:c r="J1" t="s">
        <x:v>68</x:v>
      </x:c>
      <x:c r="K1" t="s">
        <x:v>69</x:v>
      </x:c>
    </x:row>
    <x:row r="2">
      <x:c r="A2" s="134">
        <x:v>45292</x:v>
      </x:c>
      <x:c r="B2" s="1" t="str">
        <x:f t="shared" ref="B2:B7" si="0">TEXT(A2,"mmm-yy")</x:f>
        <x:v>Jan-24</x:v>
      </x:c>
      <x:c r="C2" s="142" t="n">
        <x:f t="shared" ref="C2:C7" si="1">MONTH(A2)</x:f>
        <x:v>1</x:v>
      </x:c>
      <x:c r="D2">
        <x:v>2</x:v>
      </x:c>
      <x:c r="E2">
        <x:v>2</x:v>
      </x:c>
      <x:c r="F2">
        <x:v>0</x:v>
      </x:c>
      <x:c r="G2">
        <x:v>0</x:v>
      </x:c>
      <x:c r="H2">
        <x:v>2093.5</x:v>
      </x:c>
      <x:c r="I2">
        <x:v>4600</x:v>
      </x:c>
      <x:c r="J2">
        <x:v>0.69</x:v>
      </x:c>
      <x:c r="K2">
        <x:v>1</x:v>
      </x:c>
    </x:row>
    <x:row r="3">
      <x:c r="A3" s="134">
        <x:v>45323</x:v>
      </x:c>
      <x:c r="B3" s="1" t="str">
        <x:f t="shared" si="0"/>
        <x:v>Feb-24</x:v>
      </x:c>
      <x:c r="C3" s="142">
        <x:f t="shared" si="1"/>
        <x:v>2</x:v>
      </x:c>
      <x:c r="D3">
        <x:v>2</x:v>
      </x:c>
      <x:c r="E3">
        <x:v>0</x:v>
      </x:c>
      <x:c r="F3">
        <x:v>0</x:v>
      </x:c>
      <x:c r="G3">
        <x:v>0</x:v>
      </x:c>
      <x:c r="H3">
        <x:v>1526</x:v>
      </x:c>
      <x:c r="I3">
        <x:v>0</x:v>
      </x:c>
      <x:c r="J3">
        <x:v>0.68</x:v>
      </x:c>
      <x:c r="K3">
        <x:v>1.02</x:v>
      </x:c>
    </x:row>
    <x:row r="4">
      <x:c r="A4" s="134">
        <x:v>45352</x:v>
      </x:c>
      <x:c r="B4" s="1" t="str">
        <x:f t="shared" si="0"/>
        <x:v>Mar-24</x:v>
      </x:c>
      <x:c r="C4" s="142">
        <x:f t="shared" si="1"/>
        <x:v>3</x:v>
      </x:c>
      <x:c r="D4">
        <x:v>3</x:v>
      </x:c>
      <x:c r="E4">
        <x:v>1</x:v>
      </x:c>
      <x:c r="F4">
        <x:v>0</x:v>
      </x:c>
      <x:c r="G4">
        <x:v>0</x:v>
      </x:c>
      <x:c r="H4">
        <x:v>1452.67</x:v>
      </x:c>
      <x:c r="I4">
        <x:v>10300</x:v>
      </x:c>
      <x:c r="J4">
        <x:v>0.66</x:v>
      </x:c>
      <x:c r="K4">
        <x:v>1.03</x:v>
      </x:c>
    </x:row>
    <x:row r="5">
      <x:c r="A5" s="134">
        <x:v>45383</x:v>
      </x:c>
      <x:c r="B5" s="1" t="str">
        <x:f t="shared" si="0"/>
        <x:v>Apr-24</x:v>
      </x:c>
      <x:c r="C5" s="142">
        <x:f t="shared" si="1"/>
        <x:v>4</x:v>
      </x:c>
      <x:c r="D5">
        <x:v>4</x:v>
      </x:c>
      <x:c r="E5">
        <x:v>1</x:v>
      </x:c>
      <x:c r="F5">
        <x:v>0</x:v>
      </x:c>
      <x:c r="G5">
        <x:v>0</x:v>
      </x:c>
      <x:c r="H5">
        <x:v>1645.75</x:v>
      </x:c>
      <x:c r="I5">
        <x:v>9800</x:v>
      </x:c>
      <x:c r="J5">
        <x:v>0.65</x:v>
      </x:c>
      <x:c r="K5">
        <x:v>1.04</x:v>
      </x:c>
    </x:row>
    <x:row r="6">
      <x:c r="A6" s="134">
        <x:v>45413</x:v>
      </x:c>
      <x:c r="B6" s="1" t="str">
        <x:f t="shared" si="0"/>
        <x:v>May-24</x:v>
      </x:c>
      <x:c r="C6" s="142">
        <x:f t="shared" si="1"/>
        <x:v>5</x:v>
      </x:c>
      <x:c r="D6">
        <x:v>5</x:v>
      </x:c>
      <x:c r="E6">
        <x:v>1</x:v>
      </x:c>
      <x:c r="F6">
        <x:v>0</x:v>
      </x:c>
      <x:c r="G6">
        <x:v>0</x:v>
      </x:c>
      <x:c r="H6">
        <x:v>1456</x:v>
      </x:c>
      <x:c r="I6">
        <x:v>11600</x:v>
      </x:c>
      <x:c r="J6">
        <x:v>0.64</x:v>
      </x:c>
      <x:c r="K6">
        <x:v>1.02</x:v>
      </x:c>
    </x:row>
    <x:row r="7">
      <x:c r="A7" s="134">
        <x:v>45444</x:v>
      </x:c>
      <x:c r="B7" s="1" t="str">
        <x:f t="shared" si="0"/>
        <x:v>Jun-24</x:v>
      </x:c>
      <x:c r="C7" s="142">
        <x:f t="shared" si="1"/>
        <x:v>6</x:v>
      </x:c>
      <x:c r="D7">
        <x:v>5</x:v>
      </x:c>
      <x:c r="E7">
        <x:v>1</x:v>
      </x:c>
      <x:c r="F7">
        <x:v>1</x:v>
      </x:c>
      <x:c r="G7">
        <x:v>0.2</x:v>
      </x:c>
      <x:c r="H7">
        <x:v>1786.2</x:v>
      </x:c>
      <x:c r="I7">
        <x:v>10800</x:v>
      </x:c>
      <x:c r="J7">
        <x:v>0.63</x:v>
      </x:c>
      <x:c r="K7">
        <x:v>0.98</x:v>
      </x:c>
    </x:row>
  </x:sheetData>
  <x:pageMargins left="0.7" right="0.7" top="0.75" bottom="0.75" header="0.3" footer="0.3"/>
  <x:tableParts count="1">
    <x:tablePart xmlns:r="http://schemas.openxmlformats.org/officeDocument/2006/relationships" r:id="R9095825e352c401a"/>
  </x:tableParts>
</x:worksheet>
</file>

<file path=xl/worksheets/sheet8.xml><?xml version="1.0" encoding="utf-8"?>
<x:worksheet xmlns:x="http://schemas.openxmlformats.org/spreadsheetml/2006/main">
  <x:sheetFormatPr defaultRowHeight="14.399999618530273"/>
  <x:cols>
    <x:col min="1" max="1" width="10.21875" customWidth="1"/>
    <x:col min="2" max="2" width="22.33203125" customWidth="1"/>
    <x:col min="3" max="3" width="12.33203125" customWidth="1"/>
    <x:col min="4" max="4" width="26.44140625" customWidth="1"/>
    <x:col min="5" max="5" width="16.5546875" customWidth="1"/>
    <x:col min="6" max="6" width="13.33203125" customWidth="1"/>
    <x:col min="7" max="7" width="16.33203125" customWidth="1"/>
    <x:col min="8" max="8" width="24.109375" customWidth="1"/>
  </x:cols>
  <x:sheetData>
    <x:row r="1">
      <x:c r="A1" t="s">
        <x:v>70</x:v>
      </x:c>
      <x:c r="B1" t="s">
        <x:v>71</x:v>
      </x:c>
      <x:c r="C1" t="s">
        <x:v>65</x:v>
      </x:c>
      <x:c r="D1" t="s">
        <x:v>72</x:v>
      </x:c>
      <x:c r="E1" t="s">
        <x:v>73</x:v>
      </x:c>
      <x:c r="F1" t="s">
        <x:v>74</x:v>
      </x:c>
      <x:c r="G1" t="s">
        <x:v>75</x:v>
      </x:c>
      <x:c r="H1" t="s">
        <x:v>76</x:v>
      </x:c>
    </x:row>
    <x:row r="2">
      <x:c r="A2" t="s">
        <x:v>77</x:v>
      </x:c>
      <x:c r="B2">
        <x:v>0.08</x:v>
      </x:c>
      <x:c r="C2">
        <x:v>0.04</x:v>
      </x:c>
      <x:c r="D2">
        <x:v>0.1</x:v>
      </x:c>
      <x:c r="E2">
        <x:v>0.03</x:v>
      </x:c>
      <x:c r="F2">
        <x:v>0.05</x:v>
      </x:c>
      <x:c r="G2">
        <x:v>0.04</x:v>
      </x:c>
      <x:c r="H2">
        <x:v>7.0000000000000007E-2</x:v>
      </x:c>
    </x:row>
    <x:row r="3">
      <x:c r="A3" t="s">
        <x:v>78</x:v>
      </x:c>
      <x:c r="B3">
        <x:v>0.12</x:v>
      </x:c>
      <x:c r="C3">
        <x:v>0.02</x:v>
      </x:c>
      <x:c r="D3">
        <x:v>0.15</x:v>
      </x:c>
      <x:c r="E3">
        <x:v>0.05</x:v>
      </x:c>
      <x:c r="F3">
        <x:v>0</x:v>
      </x:c>
      <x:c r="G3">
        <x:v>0.03</x:v>
      </x:c>
      <x:c r="H3">
        <x:v>0.1</x:v>
      </x:c>
    </x:row>
    <x:row r="4">
      <x:c r="A4" t="s">
        <x:v>79</x:v>
      </x:c>
      <x:c r="B4">
        <x:v>0.04</x:v>
      </x:c>
      <x:c r="C4">
        <x:v>0.08</x:v>
      </x:c>
      <x:c r="D4">
        <x:v>0.05</x:v>
      </x:c>
      <x:c r="E4">
        <x:v>0</x:v>
      </x:c>
      <x:c r="F4">
        <x:v>0.12</x:v>
      </x:c>
      <x:c r="G4">
        <x:v>0.06</x:v>
      </x:c>
      <x:c r="H4">
        <x:v>0.03</x:v>
      </x:c>
    </x:row>
  </x:sheetData>
  <x:pageMargins left="0.7" right="0.7" top="0.75" bottom="0.75" header="0.3" footer="0.3"/>
  <x:tableParts count="1">
    <x:tablePart xmlns:r="http://schemas.openxmlformats.org/officeDocument/2006/relationships" r:id="Rc08d8a6ebcee401b"/>
  </x:tableParts>
</x:worksheet>
</file>

<file path=xl/worksheets/sheet9.xml><?xml version="1.0" encoding="utf-8"?>
<x:worksheet xmlns:x="http://schemas.openxmlformats.org/spreadsheetml/2006/main">
  <x:sheetFormatPr defaultRowHeight="14.399999618530273"/>
  <x:cols>
    <x:col min="1" max="1" width="5.519999980926514" hidden="0" customWidth="1"/>
    <x:col min="2" max="2" width="10.630000114440918" hidden="0" customWidth="1"/>
    <x:col min="3" max="3" width="12.920000076293945" style="63" hidden="0" customWidth="1"/>
    <x:col min="4" max="4" width="12.920000076293945" hidden="0" customWidth="1"/>
    <x:col min="5" max="5" width="14.5546875" customWidth="1"/>
    <x:col min="6" max="6" width="11.77734375" customWidth="1"/>
    <x:col min="7" max="7" width="10.88671875" customWidth="1"/>
    <x:col min="8" max="8" width="12" customWidth="1"/>
    <x:col min="9" max="9" width="9.6640625" customWidth="1"/>
    <x:col min="10" max="10" width="13.109375" customWidth="1"/>
    <x:col min="11" max="11" width="15.5546875" customWidth="1"/>
    <x:col min="12" max="12" width="10.33203125" customWidth="1"/>
    <x:col min="13" max="13" width="6" customWidth="1"/>
    <x:col min="14" max="14" width="20.21875" customWidth="1"/>
  </x:cols>
  <x:sheetData>
    <x:row r="1" ht="15">
      <x:c r="A1" s="7" t="s">
        <x:v>1</x:v>
      </x:c>
      <x:c r="B1" s="8" t="s">
        <x:v>2</x:v>
      </x:c>
      <x:c r="C1" s="65" t="s">
        <x:v>3</x:v>
      </x:c>
      <x:c r="D1" s="8" t="s">
        <x:v>80</x:v>
      </x:c>
      <x:c r="E1" s="8" t="s">
        <x:v>81</x:v>
      </x:c>
      <x:c r="F1" s="8" t="s">
        <x:v>82</x:v>
      </x:c>
      <x:c r="G1" s="8" t="s">
        <x:v>83</x:v>
      </x:c>
      <x:c r="H1" s="8" t="s">
        <x:v>68</x:v>
      </x:c>
      <x:c r="I1" s="8" t="s">
        <x:v>84</x:v>
      </x:c>
      <x:c r="J1" s="8" t="s">
        <x:v>85</x:v>
      </x:c>
      <x:c r="K1" s="8" t="s">
        <x:v>62</x:v>
      </x:c>
      <x:c r="L1" s="8" t="s">
        <x:v>65</x:v>
      </x:c>
      <x:c r="M1" s="8" t="s">
        <x:v>67</x:v>
      </x:c>
      <x:c r="N1" s="9" t="s">
        <x:v>69</x:v>
      </x:c>
    </x:row>
    <x:row r="2">
      <x:c r="A2" s="138">
        <x:v>45292</x:v>
      </x:c>
      <x:c r="B2" s="64" t="str">
        <x:f>TEXT(A2,"mmm-yy")</x:f>
        <x:v>Jan-24</x:v>
      </x:c>
      <x:c r="C2" s="142" t="n">
        <x:f>MONTH(A2)</x:f>
        <x:v>1</x:v>
      </x:c>
      <x:c r="D2" t="n">
        <x:f>SUMIFS(tblRevenue[Total_Revenue],tblRevenue[Month],A2)</x:f>
        <x:v>4187</x:v>
      </x:c>
      <x:c r="E2" t="n">
        <x:f>SUMIFS(tblExpenses[Actual_Expense],tblExpenses[Month],A2)</x:f>
        <x:v>37850</x:v>
      </x:c>
      <x:c r="F2" t="n">
        <x:f>D2-G2</x:f>
        <x:v>1297.9700000000003</x:v>
      </x:c>
      <x:c r="G2" t="n">
        <x:f>D2*H2</x:f>
        <x:v>2889.0299999999997</x:v>
      </x:c>
      <x:c r="H2" t="n">
        <x:f>_xlfn.XLOOKUP(A2,KPI_Data!A:A,KPI_Data!J:J)</x:f>
        <x:v>0.69</x:v>
      </x:c>
      <x:c r="I2" t="n">
        <x:f>G2-E2</x:f>
        <x:v>-34960.97</x:v>
      </x:c>
      <x:c r="J2" t="n">
        <x:f>I2/D2</x:f>
        <x:v>-8.349885359445905</x:v>
      </x:c>
      <x:c r="K2" t="n">
        <x:f>_xlfn.XLOOKUP(A2,tblKPI[Month],tblKPI[Active_Customers])</x:f>
        <x:v>2</x:v>
      </x:c>
      <x:c r="L2" t="n">
        <x:f>_xlfn.XLOOKUP(A2,tblKPI[Month],tblKPI[Churn_Rate])</x:f>
        <x:v>0</x:v>
      </x:c>
      <x:c r="M2" t="n">
        <x:f>_xlfn.XLOOKUP(A2,tblKPI[Month],tblKPI[CAC])</x:f>
        <x:v>4600</x:v>
      </x:c>
      <x:c r="N2" s="5" t="n">
        <x:f>_xlfn.XLOOKUP(A2,tblKPI[Month],tblKPI[Net_Revenue_Retention])</x:f>
        <x:v>1</x:v>
      </x:c>
    </x:row>
    <x:row r="3">
      <x:c r="A3" s="138">
        <x:v>45323</x:v>
      </x:c>
      <x:c r="B3" s="64" t="str">
        <x:f t="shared" ref="B3:B7" si="0">TEXT(A3,"mmm-yy")</x:f>
        <x:v>Feb-24</x:v>
      </x:c>
      <x:c r="C3" s="142" t="n">
        <x:f t="shared" ref="C3:C7" si="1">MONTH(A3)</x:f>
        <x:v>2</x:v>
      </x:c>
      <x:c r="D3" t="n">
        <x:f>SUMIFS(tblRevenue[Total_Revenue],tblRevenue[Month],A3)</x:f>
        <x:v>3052</x:v>
      </x:c>
      <x:c r="E3" t="n">
        <x:f>SUMIFS(tblExpenses[Actual_Expense],tblExpenses[Month],A3)</x:f>
        <x:v>38000</x:v>
      </x:c>
      <x:c r="F3" t="n">
        <x:f t="shared" ref="F3:F7" si="2">D3-G3</x:f>
        <x:v>976.6399999999999</x:v>
      </x:c>
      <x:c r="G3" t="n">
        <x:f t="shared" ref="G3:G7" si="3">D3*H3</x:f>
        <x:v>2075.36</x:v>
      </x:c>
      <x:c r="H3" t="n">
        <x:f>_xlfn.XLOOKUP(A3,KPI_Data!A:A,KPI_Data!J:J)</x:f>
        <x:v>0.68</x:v>
      </x:c>
      <x:c r="I3" t="n">
        <x:f t="shared" ref="I3:I7" si="4">G3-E3</x:f>
        <x:v>-35924.64</x:v>
      </x:c>
      <x:c r="J3" t="n">
        <x:f t="shared" ref="J3:J7" si="5">I3/D3</x:f>
        <x:v>-11.770851900393184</x:v>
      </x:c>
      <x:c r="K3" t="n">
        <x:f>_xlfn.XLOOKUP(A3,tblKPI[Month],tblKPI[Active_Customers])</x:f>
        <x:v>2</x:v>
      </x:c>
      <x:c r="L3" t="n">
        <x:f>_xlfn.XLOOKUP(A3,tblKPI[Month],tblKPI[Churn_Rate])</x:f>
        <x:v>0</x:v>
      </x:c>
      <x:c r="M3" t="n">
        <x:f>_xlfn.XLOOKUP(A3,tblKPI[Month],tblKPI[CAC])</x:f>
        <x:v>0</x:v>
      </x:c>
      <x:c r="N3" s="5" t="n">
        <x:f>_xlfn.XLOOKUP(A3,tblKPI[Month],tblKPI[Net_Revenue_Retention])</x:f>
        <x:v>1.02</x:v>
      </x:c>
    </x:row>
    <x:row r="4">
      <x:c r="A4" s="138">
        <x:v>45352</x:v>
      </x:c>
      <x:c r="B4" s="64" t="str">
        <x:f t="shared" si="0"/>
        <x:v>Mar-24</x:v>
      </x:c>
      <x:c r="C4" s="142">
        <x:f t="shared" si="1"/>
        <x:v>3</x:v>
      </x:c>
      <x:c r="D4" t="n">
        <x:f>SUMIFS(tblRevenue[Total_Revenue],tblRevenue[Month],A4)</x:f>
        <x:v>4358</x:v>
      </x:c>
      <x:c r="E4" t="n">
        <x:f>SUMIFS(tblExpenses[Actual_Expense],tblExpenses[Month],A4)</x:f>
        <x:v>39250</x:v>
      </x:c>
      <x:c r="F4">
        <x:f t="shared" si="2"/>
        <x:v>1481.7199999999998</x:v>
      </x:c>
      <x:c r="G4">
        <x:f t="shared" si="3"/>
        <x:v>2876.28</x:v>
      </x:c>
      <x:c r="H4" t="n">
        <x:f>_xlfn.XLOOKUP(A4,KPI_Data!A:A,KPI_Data!J:J)</x:f>
        <x:v>0.66</x:v>
      </x:c>
      <x:c r="I4">
        <x:f t="shared" si="4"/>
        <x:v>-36373.72</x:v>
      </x:c>
      <x:c r="J4">
        <x:f t="shared" si="5"/>
        <x:v>-8.3464249655805425</x:v>
      </x:c>
      <x:c r="K4" t="n">
        <x:f>_xlfn.XLOOKUP(A4,tblKPI[Month],tblKPI[Active_Customers])</x:f>
        <x:v>3</x:v>
      </x:c>
      <x:c r="L4" t="n">
        <x:f>_xlfn.XLOOKUP(A4,tblKPI[Month],tblKPI[Churn_Rate])</x:f>
        <x:v>0</x:v>
      </x:c>
      <x:c r="M4" t="n">
        <x:f>_xlfn.XLOOKUP(A4,tblKPI[Month],tblKPI[CAC])</x:f>
        <x:v>10300</x:v>
      </x:c>
      <x:c r="N4" s="5" t="n">
        <x:f>_xlfn.XLOOKUP(A4,tblKPI[Month],tblKPI[Net_Revenue_Retention])</x:f>
        <x:v>1.03</x:v>
      </x:c>
    </x:row>
    <x:row r="5">
      <x:c r="A5" s="138">
        <x:v>45383</x:v>
      </x:c>
      <x:c r="B5" s="64" t="str">
        <x:f t="shared" si="0"/>
        <x:v>Apr-24</x:v>
      </x:c>
      <x:c r="C5" s="142">
        <x:f t="shared" si="1"/>
        <x:v>4</x:v>
      </x:c>
      <x:c r="D5" t="n">
        <x:f>SUMIFS(tblRevenue[Total_Revenue],tblRevenue[Month],A5)</x:f>
        <x:v>6583</x:v>
      </x:c>
      <x:c r="E5" t="n">
        <x:f>SUMIFS(tblExpenses[Actual_Expense],tblExpenses[Month],A5)</x:f>
        <x:v>41550</x:v>
      </x:c>
      <x:c r="F5">
        <x:f t="shared" si="2"/>
        <x:v>2304.0500000000002</x:v>
      </x:c>
      <x:c r="G5">
        <x:f t="shared" si="3"/>
        <x:v>4278.95</x:v>
      </x:c>
      <x:c r="H5" t="n">
        <x:f>_xlfn.XLOOKUP(A5,KPI_Data!A:A,KPI_Data!J:J)</x:f>
        <x:v>0.65</x:v>
      </x:c>
      <x:c r="I5">
        <x:f t="shared" si="4"/>
        <x:v>-37271.050000000003</x:v>
      </x:c>
      <x:c r="J5">
        <x:f t="shared" si="5"/>
        <x:v>-5.6617119854169839</x:v>
      </x:c>
      <x:c r="K5" t="n">
        <x:f>_xlfn.XLOOKUP(A5,tblKPI[Month],tblKPI[Active_Customers])</x:f>
        <x:v>4</x:v>
      </x:c>
      <x:c r="L5" t="n">
        <x:f>_xlfn.XLOOKUP(A5,tblKPI[Month],tblKPI[Churn_Rate])</x:f>
        <x:v>0</x:v>
      </x:c>
      <x:c r="M5" t="n">
        <x:f>_xlfn.XLOOKUP(A5,tblKPI[Month],tblKPI[CAC])</x:f>
        <x:v>9800</x:v>
      </x:c>
      <x:c r="N5" s="5" t="n">
        <x:f>_xlfn.XLOOKUP(A5,tblKPI[Month],tblKPI[Net_Revenue_Retention])</x:f>
        <x:v>1.04</x:v>
      </x:c>
    </x:row>
    <x:row r="6">
      <x:c r="A6" s="138">
        <x:v>45413</x:v>
      </x:c>
      <x:c r="B6" s="64" t="str">
        <x:f t="shared" si="0"/>
        <x:v>May-24</x:v>
      </x:c>
      <x:c r="C6" s="142">
        <x:f t="shared" si="1"/>
        <x:v>5</x:v>
      </x:c>
      <x:c r="D6" t="n">
        <x:f>SUMIFS(tblRevenue[Total_Revenue],tblRevenue[Month],A6)</x:f>
        <x:v>7280</x:v>
      </x:c>
      <x:c r="E6" t="n">
        <x:f>SUMIFS(tblExpenses[Actual_Expense],tblExpenses[Month],A6)</x:f>
        <x:v>44600</x:v>
      </x:c>
      <x:c r="F6">
        <x:f t="shared" si="2"/>
        <x:v>2620.8000000000002</x:v>
      </x:c>
      <x:c r="G6">
        <x:f t="shared" si="3"/>
        <x:v>4659.2</x:v>
      </x:c>
      <x:c r="H6" t="n">
        <x:f>_xlfn.XLOOKUP(A6,KPI_Data!A:A,KPI_Data!J:J)</x:f>
        <x:v>0.64</x:v>
      </x:c>
      <x:c r="I6">
        <x:f t="shared" si="4"/>
        <x:v>-39940.800000000003</x:v>
      </x:c>
      <x:c r="J6">
        <x:f t="shared" si="5"/>
        <x:v>-5.4863736263736271</x:v>
      </x:c>
      <x:c r="K6" t="n">
        <x:f>_xlfn.XLOOKUP(A6,tblKPI[Month],tblKPI[Active_Customers])</x:f>
        <x:v>5</x:v>
      </x:c>
      <x:c r="L6" t="n">
        <x:f>_xlfn.XLOOKUP(A6,tblKPI[Month],tblKPI[Churn_Rate])</x:f>
        <x:v>0</x:v>
      </x:c>
      <x:c r="M6" t="n">
        <x:f>_xlfn.XLOOKUP(A6,tblKPI[Month],tblKPI[CAC])</x:f>
        <x:v>11600</x:v>
      </x:c>
      <x:c r="N6" s="5" t="n">
        <x:f>_xlfn.XLOOKUP(A6,tblKPI[Month],tblKPI[Net_Revenue_Retention])</x:f>
        <x:v>1.02</x:v>
      </x:c>
    </x:row>
    <x:row r="7" ht="15">
      <x:c r="A7" s="139">
        <x:v>45444</x:v>
      </x:c>
      <x:c r="B7" s="64" t="str">
        <x:f t="shared" si="0"/>
        <x:v>Jun-24</x:v>
      </x:c>
      <x:c r="C7" s="142">
        <x:f t="shared" si="1"/>
        <x:v>6</x:v>
      </x:c>
      <x:c r="D7" s="12" t="n">
        <x:f>SUMIFS(tblRevenue[Total_Revenue],tblRevenue[Month],A7)</x:f>
        <x:v>9531</x:v>
      </x:c>
      <x:c r="E7" s="12" t="n">
        <x:f>SUMIFS(tblExpenses[Actual_Expense],tblExpenses[Month],A7)</x:f>
        <x:v>43750</x:v>
      </x:c>
      <x:c r="F7">
        <x:f t="shared" si="2"/>
        <x:v>3526.4700000000003</x:v>
      </x:c>
      <x:c r="G7">
        <x:f t="shared" si="3"/>
        <x:v>6004.53</x:v>
      </x:c>
      <x:c r="H7" t="n">
        <x:f>_xlfn.XLOOKUP(A7,KPI_Data!A:A,KPI_Data!J:J)</x:f>
        <x:v>0.63</x:v>
      </x:c>
      <x:c r="I7" s="12">
        <x:f t="shared" si="4"/>
        <x:v>-37745.47</x:v>
      </x:c>
      <x:c r="J7" s="12">
        <x:f t="shared" si="5"/>
        <x:v>-3.9602843353268282</x:v>
      </x:c>
      <x:c r="K7" s="12" t="n">
        <x:f>_xlfn.XLOOKUP(A7,tblKPI[Month],tblKPI[Active_Customers])</x:f>
        <x:v>5</x:v>
      </x:c>
      <x:c r="L7" s="12" t="n">
        <x:f>_xlfn.XLOOKUP(A7,tblKPI[Month],tblKPI[Churn_Rate])</x:f>
        <x:v>0.2</x:v>
      </x:c>
      <x:c r="M7" s="12" t="n">
        <x:f>_xlfn.XLOOKUP(A7,tblKPI[Month],tblKPI[CAC])</x:f>
        <x:v>10800</x:v>
      </x:c>
      <x:c r="N7" s="6" t="n">
        <x:f>_xlfn.XLOOKUP(A7,tblKPI[Month],tblKPI[Net_Revenue_Retention])</x:f>
        <x:v>0.98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4.399999618530273"/>
  <x:cols>
    <x:col min="1" max="1" width="5.519999980926514" hidden="0" customWidth="1"/>
    <x:col min="2" max="2" width="10.630000114440918" hidden="0" customWidth="1"/>
    <x:col min="3" max="3" width="12.920000076293945" hidden="0" customWidth="1"/>
    <x:col min="4" max="4" width="12.920000076293945" hidden="0" customWidth="1"/>
    <x:col min="5" max="5" width="14.33203125" customWidth="1"/>
    <x:col min="6" max="6" width="16" customWidth="1"/>
    <x:col min="7" max="7" width="18.44140625" customWidth="1"/>
    <x:col min="8" max="8" width="14.5546875" customWidth="1"/>
    <x:col min="9" max="9" width="15" customWidth="1"/>
    <x:col min="10" max="10" width="15.77734375" customWidth="1"/>
    <x:col min="11" max="11" width="18.21875" customWidth="1"/>
    <x:col min="12" max="12" width="12.6640625" customWidth="1"/>
    <x:col min="13" max="13" width="13.21875" customWidth="1"/>
    <x:col min="14" max="14" width="14.88671875" customWidth="1"/>
    <x:col min="15" max="15" width="17.33203125" customWidth="1"/>
  </x:cols>
  <x:sheetData>
    <x:row r="1" ht="15">
      <x:c r="A1" s="7" t="s">
        <x:v>1</x:v>
      </x:c>
      <x:c r="B1" s="8" t="s">
        <x:v>2</x:v>
      </x:c>
      <x:c r="C1" s="8" t="s">
        <x:v>3</x:v>
      </x:c>
      <x:c r="D1" s="8" t="s">
        <x:v>80</x:v>
      </x:c>
      <x:c r="E1" s="8" t="s">
        <x:v>86</x:v>
      </x:c>
      <x:c r="F1" s="8" t="s">
        <x:v>87</x:v>
      </x:c>
      <x:c r="G1" s="8" t="s">
        <x:v>88</x:v>
      </x:c>
      <x:c r="H1" s="8" t="s">
        <x:v>81</x:v>
      </x:c>
      <x:c r="I1" s="8" t="s">
        <x:v>89</x:v>
      </x:c>
      <x:c r="J1" s="8" t="s">
        <x:v>90</x:v>
      </x:c>
      <x:c r="K1" s="8" t="s">
        <x:v>91</x:v>
      </x:c>
      <x:c r="L1" s="8" t="s">
        <x:v>92</x:v>
      </x:c>
      <x:c r="M1" s="8" t="s">
        <x:v>61</x:v>
      </x:c>
      <x:c r="N1" s="8" t="s">
        <x:v>93</x:v>
      </x:c>
      <x:c r="O1" s="9" t="s">
        <x:v>94</x:v>
      </x:c>
    </x:row>
    <x:row r="2">
      <x:c r="A2" s="138">
        <x:v>45292</x:v>
      </x:c>
      <x:c r="B2" s="64" t="str">
        <x:f>TEXT(A2,"mmm-yy")</x:f>
        <x:v>Jan-24</x:v>
      </x:c>
      <x:c r="C2" s="142" t="n">
        <x:f>MONTH(A2)</x:f>
        <x:v>1</x:v>
      </x:c>
      <x:c r="D2" t="n">
        <x:f>_xlfn.XLOOKUP(A2,Monthly_Summary!A:A,Monthly_Summary!D:D)</x:f>
        <x:v>4187</x:v>
      </x:c>
      <x:c r="E2" t="n">
        <x:f>_xlfn.XLOOKUP(A2,tblBudget[Month],tblBudget[Budget_Total_Revenue])</x:f>
        <x:v>4200</x:v>
      </x:c>
      <x:c r="F2" t="n">
        <x:f>D2-E2</x:f>
        <x:v>-13</x:v>
      </x:c>
      <x:c r="G2" t="n">
        <x:f>F2/E2</x:f>
        <x:v>-0.0030952380952380953</x:v>
      </x:c>
      <x:c r="H2" t="n">
        <x:f>_xlfn.XLOOKUP(A2,Monthly_Summary!A:A,Monthly_Summary!E:E)</x:f>
        <x:v>37850</x:v>
      </x:c>
      <x:c r="I2" t="n">
        <x:f>_xlfn.XLOOKUP(A2,tblBudget[Month],tblBudget[Budget_Operating_Expenses])</x:f>
        <x:v>36000</x:v>
      </x:c>
      <x:c r="J2" t="n">
        <x:f>H2-I2</x:f>
        <x:v>1850</x:v>
      </x:c>
      <x:c r="K2" t="n">
        <x:f>J2/I2</x:f>
        <x:v>0.05138888888888889</x:v>
      </x:c>
      <x:c r="L2" t="n">
        <x:f>_xlfn.XLOOKUP(A2,Monthly_Summary!A:A,Monthly_Summary!I:I)</x:f>
        <x:v>-34960.97</x:v>
      </x:c>
      <x:c r="M2" t="n">
        <x:f>_xlfn.XLOOKUP(A2,tblBudget[Month],tblBudget[Budget_EBITDA])</x:f>
        <x:v>-33100</x:v>
      </x:c>
      <x:c r="N2" t="n">
        <x:f>L2-M2</x:f>
        <x:v>-1860.9700000000012</x:v>
      </x:c>
      <x:c r="O2" s="5" t="n">
        <x:f>N2/ABS(M2)</x:f>
        <x:v>-0.05622265861027194</x:v>
      </x:c>
    </x:row>
    <x:row r="3">
      <x:c r="A3" s="138">
        <x:v>45323</x:v>
      </x:c>
      <x:c r="B3" s="64" t="str">
        <x:f t="shared" ref="B3:B7" si="0">TEXT(A3,"mmm-yy")</x:f>
        <x:v>Feb-24</x:v>
      </x:c>
      <x:c r="C3" s="142" t="n">
        <x:f t="shared" ref="C3:C7" si="1">MONTH(A3)</x:f>
        <x:v>2</x:v>
      </x:c>
      <x:c r="D3" t="n">
        <x:f>_xlfn.XLOOKUP(A3,Monthly_Summary!A:A,Monthly_Summary!D:D)</x:f>
        <x:v>3052</x:v>
      </x:c>
      <x:c r="E3" t="n">
        <x:f>_xlfn.XLOOKUP(A3,tblBudget[Month],tblBudget[Budget_Total_Revenue])</x:f>
        <x:v>3100</x:v>
      </x:c>
      <x:c r="F3" t="n">
        <x:f t="shared" ref="F3:F7" si="2">D3-E3</x:f>
        <x:v>-48</x:v>
      </x:c>
      <x:c r="G3" t="n">
        <x:f t="shared" ref="G3:G7" si="3">F3/E3</x:f>
        <x:v>-0.015483870967741935</x:v>
      </x:c>
      <x:c r="H3" t="n">
        <x:f>_xlfn.XLOOKUP(A3,Monthly_Summary!A:A,Monthly_Summary!E:E)</x:f>
        <x:v>38000</x:v>
      </x:c>
      <x:c r="I3" t="n">
        <x:f>_xlfn.XLOOKUP(A3,tblBudget[Month],tblBudget[Budget_Operating_Expenses])</x:f>
        <x:v>36700</x:v>
      </x:c>
      <x:c r="J3" t="n">
        <x:f t="shared" ref="J3:J7" si="4">H3-I3</x:f>
        <x:v>1300</x:v>
      </x:c>
      <x:c r="K3" t="n">
        <x:f t="shared" ref="K3:K7" si="5">J3/I3</x:f>
        <x:v>0.035422343324250684</x:v>
      </x:c>
      <x:c r="L3" t="n">
        <x:f>_xlfn.XLOOKUP(A3,Monthly_Summary!A:A,Monthly_Summary!I:I)</x:f>
        <x:v>-35924.64</x:v>
      </x:c>
      <x:c r="M3" t="n">
        <x:f>_xlfn.XLOOKUP(A3,tblBudget[Month],tblBudget[Budget_EBITDA])</x:f>
        <x:v>-34950</x:v>
      </x:c>
      <x:c r="N3" t="n">
        <x:f t="shared" ref="N3:N7" si="6">L3-M3</x:f>
        <x:v>-974.6399999999994</x:v>
      </x:c>
      <x:c r="O3" s="5" t="n">
        <x:f t="shared" ref="O3:O7" si="7">N3/ABS(M3)</x:f>
        <x:v>-0.02788669527896994</x:v>
      </x:c>
    </x:row>
    <x:row r="4">
      <x:c r="A4" s="138">
        <x:v>45352</x:v>
      </x:c>
      <x:c r="B4" s="64" t="str">
        <x:f t="shared" si="0"/>
        <x:v>Mar-24</x:v>
      </x:c>
      <x:c r="C4" s="142">
        <x:f t="shared" si="1"/>
        <x:v>3</x:v>
      </x:c>
      <x:c r="D4" t="n">
        <x:f>_xlfn.XLOOKUP(A4,Monthly_Summary!A:A,Monthly_Summary!D:D)</x:f>
        <x:v>4358</x:v>
      </x:c>
      <x:c r="E4" t="n">
        <x:f>_xlfn.XLOOKUP(A4,tblBudget[Month],tblBudget[Budget_Total_Revenue])</x:f>
        <x:v>4250</x:v>
      </x:c>
      <x:c r="F4">
        <x:f t="shared" si="2"/>
        <x:v>108</x:v>
      </x:c>
      <x:c r="G4">
        <x:f t="shared" si="3"/>
        <x:v>2.5411764705882352E-2</x:v>
      </x:c>
      <x:c r="H4" t="n">
        <x:f>_xlfn.XLOOKUP(A4,Monthly_Summary!A:A,Monthly_Summary!E:E)</x:f>
        <x:v>39250</x:v>
      </x:c>
      <x:c r="I4" t="n">
        <x:f>_xlfn.XLOOKUP(A4,tblBudget[Month],tblBudget[Budget_Operating_Expenses])</x:f>
        <x:v>38300</x:v>
      </x:c>
      <x:c r="J4">
        <x:f t="shared" si="4"/>
        <x:v>950</x:v>
      </x:c>
      <x:c r="K4">
        <x:f t="shared" si="5"/>
        <x:v>2.4804177545691905E-2</x:v>
      </x:c>
      <x:c r="L4" t="n">
        <x:f>_xlfn.XLOOKUP(A4,Monthly_Summary!A:A,Monthly_Summary!I:I)</x:f>
        <x:v>-36373.72</x:v>
      </x:c>
      <x:c r="M4" t="n">
        <x:f>_xlfn.XLOOKUP(A4,tblBudget[Month],tblBudget[Budget_EBITDA])</x:f>
        <x:v>-35550</x:v>
      </x:c>
      <x:c r="N4">
        <x:f t="shared" si="6"/>
        <x:v>-823.72000000000116</x:v>
      </x:c>
      <x:c r="O4" s="5">
        <x:f t="shared" si="7"/>
        <x:v>-2.3170745428973311E-2</x:v>
      </x:c>
    </x:row>
    <x:row r="5">
      <x:c r="A5" s="138">
        <x:v>45383</x:v>
      </x:c>
      <x:c r="B5" s="64" t="str">
        <x:f t="shared" si="0"/>
        <x:v>Apr-24</x:v>
      </x:c>
      <x:c r="C5" s="142">
        <x:f t="shared" si="1"/>
        <x:v>4</x:v>
      </x:c>
      <x:c r="D5" t="n">
        <x:f>_xlfn.XLOOKUP(A5,Monthly_Summary!A:A,Monthly_Summary!D:D)</x:f>
        <x:v>6583</x:v>
      </x:c>
      <x:c r="E5" t="n">
        <x:f>_xlfn.XLOOKUP(A5,tblBudget[Month],tblBudget[Budget_Total_Revenue])</x:f>
        <x:v>5400</x:v>
      </x:c>
      <x:c r="F5">
        <x:f t="shared" si="2"/>
        <x:v>1183</x:v>
      </x:c>
      <x:c r="G5">
        <x:f t="shared" si="3"/>
        <x:v>0.21907407407407409</x:v>
      </x:c>
      <x:c r="H5" t="n">
        <x:f>_xlfn.XLOOKUP(A5,Monthly_Summary!A:A,Monthly_Summary!E:E)</x:f>
        <x:v>41550</x:v>
      </x:c>
      <x:c r="I5" t="n">
        <x:f>_xlfn.XLOOKUP(A5,tblBudget[Month],tblBudget[Budget_Operating_Expenses])</x:f>
        <x:v>40200</x:v>
      </x:c>
      <x:c r="J5">
        <x:f t="shared" si="4"/>
        <x:v>1350</x:v>
      </x:c>
      <x:c r="K5">
        <x:f t="shared" si="5"/>
        <x:v>3.3582089552238806E-2</x:v>
      </x:c>
      <x:c r="L5" t="n">
        <x:f>_xlfn.XLOOKUP(A5,Monthly_Summary!A:A,Monthly_Summary!I:I)</x:f>
        <x:v>-37271.05</x:v>
      </x:c>
      <x:c r="M5" t="n">
        <x:f>_xlfn.XLOOKUP(A5,tblBudget[Month],tblBudget[Budget_EBITDA])</x:f>
        <x:v>-36550</x:v>
      </x:c>
      <x:c r="N5">
        <x:f t="shared" si="6"/>
        <x:v>-721.05000000000291</x:v>
      </x:c>
      <x:c r="O5" s="5">
        <x:f t="shared" si="7"/>
        <x:v>-1.9727770177838656E-2</x:v>
      </x:c>
    </x:row>
    <x:row r="6">
      <x:c r="A6" s="138">
        <x:v>45413</x:v>
      </x:c>
      <x:c r="B6" s="64" t="str">
        <x:f t="shared" si="0"/>
        <x:v>May-24</x:v>
      </x:c>
      <x:c r="C6" s="142">
        <x:f t="shared" si="1"/>
        <x:v>5</x:v>
      </x:c>
      <x:c r="D6" t="n">
        <x:f>_xlfn.XLOOKUP(A6,Monthly_Summary!A:A,Monthly_Summary!D:D)</x:f>
        <x:v>7280</x:v>
      </x:c>
      <x:c r="E6" t="n">
        <x:f>_xlfn.XLOOKUP(A6,tblBudget[Month],tblBudget[Budget_Total_Revenue])</x:f>
        <x:v>5950</x:v>
      </x:c>
      <x:c r="F6">
        <x:f t="shared" si="2"/>
        <x:v>1330</x:v>
      </x:c>
      <x:c r="G6">
        <x:f t="shared" si="3"/>
        <x:v>0.22352941176470589</x:v>
      </x:c>
      <x:c r="H6" t="n">
        <x:f>_xlfn.XLOOKUP(A6,Monthly_Summary!A:A,Monthly_Summary!E:E)</x:f>
        <x:v>44600</x:v>
      </x:c>
      <x:c r="I6" t="n">
        <x:f>_xlfn.XLOOKUP(A6,tblBudget[Month],tblBudget[Budget_Operating_Expenses])</x:f>
        <x:v>41500</x:v>
      </x:c>
      <x:c r="J6">
        <x:f t="shared" si="4"/>
        <x:v>3100</x:v>
      </x:c>
      <x:c r="K6">
        <x:f t="shared" si="5"/>
        <x:v>7.4698795180722893E-2</x:v>
      </x:c>
      <x:c r="L6" t="n">
        <x:f>_xlfn.XLOOKUP(A6,Monthly_Summary!A:A,Monthly_Summary!I:I)</x:f>
        <x:v>-39940.8</x:v>
      </x:c>
      <x:c r="M6" t="n">
        <x:f>_xlfn.XLOOKUP(A6,tblBudget[Month],tblBudget[Budget_EBITDA])</x:f>
        <x:v>-37500</x:v>
      </x:c>
      <x:c r="N6">
        <x:f t="shared" si="6"/>
        <x:v>-2440.8000000000029</x:v>
      </x:c>
      <x:c r="O6" s="5">
        <x:f t="shared" si="7"/>
        <x:v>-6.5088000000000076E-2</x:v>
      </x:c>
    </x:row>
    <x:row r="7" ht="15">
      <x:c r="A7" s="139">
        <x:v>45444</x:v>
      </x:c>
      <x:c r="B7" s="64" t="str">
        <x:f t="shared" si="0"/>
        <x:v>Jun-24</x:v>
      </x:c>
      <x:c r="C7" s="142">
        <x:f t="shared" si="1"/>
        <x:v>6</x:v>
      </x:c>
      <x:c r="D7" s="12" t="n">
        <x:f>_xlfn.XLOOKUP(A7,Monthly_Summary!A:A,Monthly_Summary!D:D)</x:f>
        <x:v>9531</x:v>
      </x:c>
      <x:c r="E7" s="12" t="n">
        <x:f>_xlfn.XLOOKUP(A7,tblBudget[Month],tblBudget[Budget_Total_Revenue])</x:f>
        <x:v>7000</x:v>
      </x:c>
      <x:c r="F7" s="12">
        <x:f t="shared" si="2"/>
        <x:v>2531</x:v>
      </x:c>
      <x:c r="G7" s="12">
        <x:f t="shared" si="3"/>
        <x:v>0.3615714285714286</x:v>
      </x:c>
      <x:c r="H7" s="12" t="n">
        <x:f>_xlfn.XLOOKUP(A7,Monthly_Summary!A:A,Monthly_Summary!E:E)</x:f>
        <x:v>43750</x:v>
      </x:c>
      <x:c r="I7" s="12" t="n">
        <x:f>_xlfn.XLOOKUP(A7,tblBudget[Month],tblBudget[Budget_Operating_Expenses])</x:f>
        <x:v>42100</x:v>
      </x:c>
      <x:c r="J7" s="12">
        <x:f t="shared" si="4"/>
        <x:v>1650</x:v>
      </x:c>
      <x:c r="K7" s="12">
        <x:f t="shared" si="5"/>
        <x:v>3.9192399049881234E-2</x:v>
      </x:c>
      <x:c r="L7" s="12" t="n">
        <x:f>_xlfn.XLOOKUP(A7,Monthly_Summary!A:A,Monthly_Summary!I:I)</x:f>
        <x:v>-37745.47</x:v>
      </x:c>
      <x:c r="M7" s="12" t="n">
        <x:f>_xlfn.XLOOKUP(A7,tblBudget[Month],tblBudget[Budget_EBITDA])</x:f>
        <x:v>-37300</x:v>
      </x:c>
      <x:c r="N7" s="12">
        <x:f t="shared" si="6"/>
        <x:v>-445.47000000000116</x:v>
      </x:c>
      <x:c r="O7" s="6">
        <x:f t="shared" si="7"/>
        <x:v>-1.1942895442359281E-2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4.399999618530273"/>
  <x:cols>
    <x:col min="1" max="1" width="16.88671875" customWidth="1"/>
    <x:col min="2" max="7" width="11.77734375" customWidth="1"/>
  </x:cols>
  <x:sheetData>
    <x:row r="1" ht="15">
      <x:c r="A1" s="7" t="s">
        <x:v>95</x:v>
      </x:c>
      <x:c r="B1" s="146">
        <x:v>45292</x:v>
      </x:c>
      <x:c r="C1" s="146">
        <x:v>45323</x:v>
      </x:c>
      <x:c r="D1" s="146">
        <x:v>45352</x:v>
      </x:c>
      <x:c r="E1" s="146">
        <x:v>45383</x:v>
      </x:c>
      <x:c r="F1" s="146">
        <x:v>45413</x:v>
      </x:c>
      <x:c r="G1" s="147">
        <x:v>45444</x:v>
      </x:c>
    </x:row>
    <x:row r="2">
      <x:c r="A2" s="13" t="s">
        <x:v>96</x:v>
      </x:c>
      <x:c r="B2" s="14" t="n">
        <x:f>_xlfn.XLOOKUP(B$1,Monthly_Summary!$A:$A,Monthly_Summary!$D:$D)</x:f>
        <x:v>4187</x:v>
      </x:c>
      <x:c r="C2" s="14" t="n">
        <x:f>_xlfn.XLOOKUP(C$1,Monthly_Summary!$A:$A,Monthly_Summary!$D:$D)</x:f>
        <x:v>3052</x:v>
      </x:c>
      <x:c r="D2" s="14" t="n">
        <x:f>_xlfn.XLOOKUP(D$1,Monthly_Summary!$A:$A,Monthly_Summary!$D:$D)</x:f>
        <x:v>4358</x:v>
      </x:c>
      <x:c r="E2" s="14" t="n">
        <x:f>_xlfn.XLOOKUP(E$1,Monthly_Summary!$A:$A,Monthly_Summary!$D:$D)</x:f>
        <x:v>6583</x:v>
      </x:c>
      <x:c r="F2" s="14" t="n">
        <x:f>_xlfn.XLOOKUP(F$1,Monthly_Summary!$A:$A,Monthly_Summary!$D:$D)</x:f>
        <x:v>7280</x:v>
      </x:c>
      <x:c r="G2" s="15" t="n">
        <x:f>_xlfn.XLOOKUP(G$1,Monthly_Summary!$A:$A,Monthly_Summary!$D:$D)</x:f>
        <x:v>9531</x:v>
      </x:c>
    </x:row>
    <x:row r="3">
      <x:c r="A3" s="13" t="s">
        <x:v>97</x:v>
      </x:c>
      <x:c r="B3" s="14" t="n">
        <x:f>_xlfn.XLOOKUP(B$1,Monthly_Summary!$A:$A,Monthly_Summary!$F:$F)</x:f>
        <x:v>1297.9700000000003</x:v>
      </x:c>
      <x:c r="C3" s="14" t="n">
        <x:f>_xlfn.XLOOKUP(C$1,Monthly_Summary!$A:$A,Monthly_Summary!$F:$F)</x:f>
        <x:v>976.6399999999999</x:v>
      </x:c>
      <x:c r="D3" s="14" t="n">
        <x:f>_xlfn.XLOOKUP(D$1,Monthly_Summary!$A:$A,Monthly_Summary!$F:$F)</x:f>
        <x:v>1481.7199999999998</x:v>
      </x:c>
      <x:c r="E3" s="14" t="n">
        <x:f>_xlfn.XLOOKUP(E$1,Monthly_Summary!$A:$A,Monthly_Summary!$F:$F)</x:f>
        <x:v>2304.05</x:v>
      </x:c>
      <x:c r="F3" s="14" t="n">
        <x:f>_xlfn.XLOOKUP(F$1,Monthly_Summary!$A:$A,Monthly_Summary!$F:$F)</x:f>
        <x:v>2620.8</x:v>
      </x:c>
      <x:c r="G3" s="15" t="n">
        <x:f>_xlfn.XLOOKUP(G$1,Monthly_Summary!$A:$A,Monthly_Summary!$F:$F)</x:f>
        <x:v>3526.4700000000003</x:v>
      </x:c>
    </x:row>
    <x:row r="4">
      <x:c r="A4" s="13" t="s">
        <x:v>98</x:v>
      </x:c>
      <x:c r="B4" s="14" t="n">
        <x:f>B2-B3</x:f>
        <x:v>2889.0299999999997</x:v>
      </x:c>
      <x:c r="C4" s="14" t="n">
        <x:f t="shared" ref="C4:G4" si="0">C2-C3</x:f>
        <x:v>2075.36</x:v>
      </x:c>
      <x:c r="D4" s="14">
        <x:f t="shared" si="0"/>
        <x:v>2876.28</x:v>
      </x:c>
      <x:c r="E4" s="14">
        <x:f t="shared" si="0"/>
        <x:v>4278.95</x:v>
      </x:c>
      <x:c r="F4" s="14">
        <x:f t="shared" si="0"/>
        <x:v>4659.2</x:v>
      </x:c>
      <x:c r="G4" s="15">
        <x:f t="shared" si="0"/>
        <x:v>6004.53</x:v>
      </x:c>
    </x:row>
    <x:row r="5">
      <x:c r="A5" s="13" t="s">
        <x:v>99</x:v>
      </x:c>
      <x:c r="B5" s="16" t="n">
        <x:f>B4/B2</x:f>
        <x:v>0.69</x:v>
      </x:c>
      <x:c r="C5" s="16" t="n">
        <x:f t="shared" ref="C5:G5" si="1">C4/C2</x:f>
        <x:v>0.68</x:v>
      </x:c>
      <x:c r="D5" s="16">
        <x:f t="shared" si="1"/>
        <x:v>0.66</x:v>
      </x:c>
      <x:c r="E5" s="16">
        <x:f t="shared" si="1"/>
        <x:v>0.65</x:v>
      </x:c>
      <x:c r="F5" s="16">
        <x:f t="shared" si="1"/>
        <x:v>0.64</x:v>
      </x:c>
      <x:c r="G5" s="17">
        <x:f t="shared" si="1"/>
        <x:v>0.63</x:v>
      </x:c>
    </x:row>
    <x:row r="6">
      <x:c r="A6" s="13" t="s">
        <x:v>100</x:v>
      </x:c>
      <x:c r="B6" s="14" t="n">
        <x:f>_xlfn.XLOOKUP(B$1,Monthly_Summary!$A:$A,Monthly_Summary!$E:$E)</x:f>
        <x:v>37850</x:v>
      </x:c>
      <x:c r="C6" s="14" t="n">
        <x:f>_xlfn.XLOOKUP(C$1,Monthly_Summary!$A:$A,Monthly_Summary!$E:$E)</x:f>
        <x:v>38000</x:v>
      </x:c>
      <x:c r="D6" s="14" t="n">
        <x:f>_xlfn.XLOOKUP(D$1,Monthly_Summary!$A:$A,Monthly_Summary!$E:$E)</x:f>
        <x:v>39250</x:v>
      </x:c>
      <x:c r="E6" s="14" t="n">
        <x:f>_xlfn.XLOOKUP(E$1,Monthly_Summary!$A:$A,Monthly_Summary!$E:$E)</x:f>
        <x:v>41550</x:v>
      </x:c>
      <x:c r="F6" s="14" t="n">
        <x:f>_xlfn.XLOOKUP(F$1,Monthly_Summary!$A:$A,Monthly_Summary!$E:$E)</x:f>
        <x:v>44600</x:v>
      </x:c>
      <x:c r="G6" s="15" t="n">
        <x:f>_xlfn.XLOOKUP(G$1,Monthly_Summary!$A:$A,Monthly_Summary!$E:$E)</x:f>
        <x:v>43750</x:v>
      </x:c>
    </x:row>
    <x:row r="7">
      <x:c r="A7" s="13" t="s">
        <x:v>84</x:v>
      </x:c>
      <x:c r="B7" s="14" t="n">
        <x:f>B4-B6</x:f>
        <x:v>-34960.97</x:v>
      </x:c>
      <x:c r="C7" s="14" t="n">
        <x:f t="shared" ref="C7:G7" si="2">C4-C6</x:f>
        <x:v>-35924.64</x:v>
      </x:c>
      <x:c r="D7" s="14">
        <x:f t="shared" si="2"/>
        <x:v>-36373.72</x:v>
      </x:c>
      <x:c r="E7" s="14">
        <x:f t="shared" si="2"/>
        <x:v>-37271.050000000003</x:v>
      </x:c>
      <x:c r="F7" s="14">
        <x:f t="shared" si="2"/>
        <x:v>-39940.800000000003</x:v>
      </x:c>
      <x:c r="G7" s="15">
        <x:f t="shared" si="2"/>
        <x:v>-37745.47</x:v>
      </x:c>
    </x:row>
    <x:row r="8" ht="15">
      <x:c r="A8" s="18" t="s">
        <x:v>101</x:v>
      </x:c>
      <x:c r="B8" s="19" t="n">
        <x:f>B7/B2</x:f>
        <x:v>-8.349885359445905</x:v>
      </x:c>
      <x:c r="C8" s="19" t="n">
        <x:f t="shared" ref="C8:G8" si="3">C7/C2</x:f>
        <x:v>-11.770851900393184</x:v>
      </x:c>
      <x:c r="D8" s="19">
        <x:f t="shared" si="3"/>
        <x:v>-8.3464249655805425</x:v>
      </x:c>
      <x:c r="E8" s="19">
        <x:f t="shared" si="3"/>
        <x:v>-5.6617119854169839</x:v>
      </x:c>
      <x:c r="F8" s="19">
        <x:f t="shared" si="3"/>
        <x:v>-5.4863736263736271</x:v>
      </x:c>
      <x:c r="G8" s="20">
        <x:f t="shared" si="3"/>
        <x:v>-3.9602843353268282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4.399999618530273"/>
  <x:cols>
    <x:col min="1" max="1" width="14.21875" customWidth="1"/>
    <x:col min="2" max="2" width="14.6640625" customWidth="1"/>
    <x:col min="3" max="3" width="10.33203125" customWidth="1"/>
    <x:col min="4" max="4" width="11.44140625" customWidth="1"/>
    <x:col min="5" max="5" width="14.5546875" customWidth="1"/>
    <x:col min="6" max="6" width="15.88671875" customWidth="1"/>
    <x:col min="7" max="7" width="14.77734375" customWidth="1"/>
  </x:cols>
  <x:sheetData>
    <x:row r="1" ht="21.600000381469727">
      <x:c r="A1" s="43" t="s">
        <x:v>102</x:v>
      </x:c>
      <x:c r="B1" s="44"/>
      <x:c r="C1" s="44"/>
      <x:c r="D1" s="44"/>
      <x:c r="E1" s="44"/>
      <x:c r="F1" s="44"/>
      <x:c r="G1" s="45"/>
    </x:row>
    <x:row r="2" ht="15"/>
    <x:row r="3" ht="15">
      <x:c r="A3" s="7" t="s">
        <x:v>70</x:v>
      </x:c>
      <x:c r="B3" s="8" t="s">
        <x:v>103</x:v>
      </x:c>
      <x:c r="C3" s="8" t="s">
        <x:v>65</x:v>
      </x:c>
      <x:c r="D3" s="8" t="s">
        <x:v>74</x:v>
      </x:c>
      <x:c r="E3" s="23" t="s">
        <x:v>75</x:v>
      </x:c>
      <x:c r="F3" s="8" t="s">
        <x:v>104</x:v>
      </x:c>
      <x:c r="G3" s="9" t="s">
        <x:v>105</x:v>
      </x:c>
    </x:row>
    <x:row r="4">
      <x:c r="A4" s="13" t="s">
        <x:v>77</x:v>
      </x:c>
      <x:c r="B4" s="16" t="n">
        <x:f>_xlfn.XLOOKUP(A4,tblScenarios[Scenario],tblScenarios[Customer_Growth_Rate])</x:f>
        <x:v>0.08</x:v>
      </x:c>
      <x:c r="C4" s="16" t="n">
        <x:f>_xlfn.XLOOKUP(A4,tblScenarios[Scenario],tblScenarios[Churn_Rate])</x:f>
        <x:v>0.04</x:v>
      </x:c>
      <x:c r="D4" s="16" t="n">
        <x:f>_xlfn.XLOOKUP(A4,tblScenarios[Scenario],tblScenarios[CAC_Change])</x:f>
        <x:v>0.05</x:v>
      </x:c>
      <x:c r="E4" s="38" t="n">
        <x:f>_xlfn.XLOOKUP(A4,tblScenarios[Scenario],tblScenarios[Payroll_Inflation])</x:f>
        <x:v>0.04</x:v>
      </x:c>
      <x:c r="F4" s="14" t="n">
        <x:f>_xlfn.XLOOKUP(DATE(2024,6,1),Monthly_Summary!$A:$A,Monthly_Summary!$D:$D)*(1+B4)</x:f>
        <x:v>10293.48</x:v>
      </x:c>
      <x:c r="G4" s="15" t="n">
        <x:f>_xlfn.XLOOKUP(DATE(2024,6,1),Monthly_Summary!$A:$A,Monthly_Summary!$I:$I)+((F4-_xlfn.XLOOKUP(DATE(2024,6,1),Monthly_Summary!$A:$A,Monthly_Summary!$D:$D))*65%)-(_xlfn.XLOOKUP(DATE(2024,6,1),Monthly_Summary!$A:$A,Monthly_Summary!$E:$E)*E4)</x:f>
        <x:v>-38999.858</x:v>
      </x:c>
    </x:row>
    <x:row r="5">
      <x:c r="A5" s="13" t="s">
        <x:v>78</x:v>
      </x:c>
      <x:c r="B5" s="16" t="n">
        <x:f>_xlfn.XLOOKUP(A5,tblScenarios[Scenario],tblScenarios[Customer_Growth_Rate])</x:f>
        <x:v>0.12</x:v>
      </x:c>
      <x:c r="C5" s="16" t="n">
        <x:f>_xlfn.XLOOKUP(A5,tblScenarios[Scenario],tblScenarios[Churn_Rate])</x:f>
        <x:v>0.02</x:v>
      </x:c>
      <x:c r="D5" s="16" t="n">
        <x:f>_xlfn.XLOOKUP(A5,tblScenarios[Scenario],tblScenarios[CAC_Change])</x:f>
        <x:v>0</x:v>
      </x:c>
      <x:c r="E5" s="38" t="n">
        <x:f>_xlfn.XLOOKUP(A5,tblScenarios[Scenario],tblScenarios[Payroll_Inflation])</x:f>
        <x:v>0.03</x:v>
      </x:c>
      <x:c r="F5" s="14" t="n">
        <x:f>_xlfn.XLOOKUP(DATE(2024,6,1),Monthly_Summary!$A:$A,Monthly_Summary!$D:$D)*(1+B5)</x:f>
        <x:v>10674.72</x:v>
      </x:c>
      <x:c r="G5" s="15" t="n">
        <x:f>_xlfn.XLOOKUP(DATE(2024,6,1),Monthly_Summary!$A:$A,Monthly_Summary!$I:$I)+((F5-_xlfn.XLOOKUP(DATE(2024,6,1),Monthly_Summary!$A:$A,Monthly_Summary!$D:$D))*65%)-(_xlfn.XLOOKUP(DATE(2024,6,1),Monthly_Summary!$A:$A,Monthly_Summary!$E:$E)*E5)</x:f>
        <x:v>-38314.552</x:v>
      </x:c>
    </x:row>
    <x:row r="6" ht="15">
      <x:c r="A6" s="18" t="s">
        <x:v>79</x:v>
      </x:c>
      <x:c r="B6" s="19" t="n">
        <x:f>_xlfn.XLOOKUP(A6,tblScenarios[Scenario],tblScenarios[Customer_Growth_Rate])</x:f>
        <x:v>0.04</x:v>
      </x:c>
      <x:c r="C6" s="19" t="n">
        <x:f>_xlfn.XLOOKUP(A6,tblScenarios[Scenario],tblScenarios[Churn_Rate])</x:f>
        <x:v>0.08</x:v>
      </x:c>
      <x:c r="D6" s="19" t="n">
        <x:f>_xlfn.XLOOKUP(A6,tblScenarios[Scenario],tblScenarios[CAC_Change])</x:f>
        <x:v>0.12</x:v>
      </x:c>
      <x:c r="E6" s="39" t="n">
        <x:f>_xlfn.XLOOKUP(A6,tblScenarios[Scenario],tblScenarios[Payroll_Inflation])</x:f>
        <x:v>0.06</x:v>
      </x:c>
      <x:c r="F6" s="24" t="n">
        <x:f>_xlfn.XLOOKUP(DATE(2024,6,1),Monthly_Summary!$A:$A,Monthly_Summary!$D:$D)*(1+B6)</x:f>
        <x:v>9912.24</x:v>
      </x:c>
      <x:c r="G6" s="25" t="n">
        <x:f>_xlfn.XLOOKUP(DATE(2024,6,1),Monthly_Summary!$A:$A,Monthly_Summary!$I:$I)+((F6-_xlfn.XLOOKUP(DATE(2024,6,1),Monthly_Summary!$A:$A,Monthly_Summary!$D:$D))*65%)-(_xlfn.XLOOKUP(DATE(2024,6,1),Monthly_Summary!$A:$A,Monthly_Summary!$E:$E)*E6)</x:f>
        <x:v>-40122.664</x:v>
      </x:c>
    </x:row>
    <x:row r="8" ht="15"/>
    <x:row r="9" ht="15">
      <x:c r="A9" s="46" t="s">
        <x:v>106</x:v>
      </x:c>
      <x:c r="B9" s="47"/>
      <x:c r="C9" s="48"/>
    </x:row>
    <x:row r="10" ht="15">
      <x:c r="A10" s="42" t="s">
        <x:v>107</x:v>
      </x:c>
      <x:c r="B10" s="49" t="s">
        <x:v>108</x:v>
      </x:c>
      <x:c r="C10" s="49"/>
      <x:c r="D10" s="49"/>
      <x:c r="E10" s="49"/>
      <x:c r="F10" s="49"/>
      <x:c r="G10" s="49"/>
      <x:c r="H10" s="49"/>
      <x:c r="I10" s="49"/>
      <x:c r="J10" s="49"/>
      <x:c r="K10" s="50"/>
    </x:row>
    <x:row r="11" ht="15">
      <x:c r="A11" s="42" t="s">
        <x:v>109</x:v>
      </x:c>
      <x:c r="B11" s="49" t="s">
        <x:v>110</x:v>
      </x:c>
      <x:c r="C11" s="49"/>
      <x:c r="D11" s="49"/>
      <x:c r="E11" s="49"/>
      <x:c r="F11" s="49"/>
      <x:c r="G11" s="49"/>
      <x:c r="H11" s="50"/>
      <x:c r="I11" s="3"/>
      <x:c r="J11" s="3"/>
      <x:c r="K11" s="3"/>
    </x:row>
    <x:row r="12" ht="15">
      <x:c r="A12" s="42" t="s">
        <x:v>111</x:v>
      </x:c>
      <x:c r="B12" s="49" t="s">
        <x:v>112</x:v>
      </x:c>
      <x:c r="C12" s="49"/>
      <x:c r="D12" s="49"/>
      <x:c r="E12" s="49"/>
      <x:c r="F12" s="49"/>
      <x:c r="G12" s="49"/>
      <x:c r="H12" s="49"/>
      <x:c r="I12" s="49"/>
      <x:c r="J12" s="49"/>
      <x:c r="K12" s="50"/>
    </x:row>
  </x:sheetData>
  <x:mergeCells>
    <x:mergeCell ref="A1:G1"/>
    <x:mergeCell ref="A9:C9"/>
    <x:mergeCell ref="B10:K10"/>
    <x:mergeCell ref="B11:H11"/>
    <x:mergeCell ref="B12:K1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4.399999618530273"/>
  <x:cols>
    <x:col min="1" max="1" width="24.109375" customWidth="1"/>
    <x:col min="2" max="2" width="11.5546875" customWidth="1"/>
    <x:col min="5" max="5" width="11.21875" customWidth="1"/>
  </x:cols>
  <x:sheetData>
    <x:row r="1" ht="21">
      <x:c r="A1" s="60" t="s">
        <x:v>113</x:v>
      </x:c>
      <x:c r="B1" s="60"/>
      <x:c r="C1" s="60"/>
      <x:c r="D1" s="60"/>
      <x:c r="E1" s="60"/>
    </x:row>
    <x:row r="2" ht="15"/>
    <x:row r="3" ht="15">
      <x:c r="A3" s="27" t="s">
        <x:v>114</x:v>
      </x:c>
      <x:c r="B3" s="22" t="str">
        <x:f>TEXT(DATE(2024,6,1),"mmm-yy")</x:f>
        <x:v>Jun-24</x:v>
      </x:c>
    </x:row>
    <x:row r="4" ht="15"/>
    <x:row r="5" ht="15">
      <x:c r="A5" s="26" t="s">
        <x:v>115</x:v>
      </x:c>
      <x:c r="D5" s="61" t="s">
        <x:v>116</x:v>
      </x:c>
      <x:c r="E5" s="62"/>
    </x:row>
    <x:row r="6" ht="57.599998474121094">
      <x:c r="A6" s="29" t="s">
        <x:v>117</x:v>
      </x:c>
      <x:c r="B6" s="37" t="n">
        <x:f>_xlfn.XLOOKUP(DATE(2024,6,1),Monthly_Summary!$A:$A,Monthly_Summary!$D:$D)</x:f>
        <x:v>9531</x:v>
      </x:c>
      <x:c r="C6" s="4"/>
      <x:c r="D6" s="36" t="s">
        <x:v>118</x:v>
      </x:c>
      <x:c r="E6" s="40" t="n">
        <x:f>_xlfn.XLOOKUP("Base Case",Scenario_Analysis!$A:$A,Scenario_Analysis!$F:$F)</x:f>
        <x:v>10293.480000000001</x:v>
      </x:c>
    </x:row>
    <x:row r="7" ht="57.599998474121094">
      <x:c r="A7" s="30" t="s">
        <x:v>119</x:v>
      </x:c>
      <x:c r="B7" s="31" t="n">
        <x:f>_xlfn.XLOOKUP(DATE(2024,6,1),Monthly_Summary!$A:$A,Monthly_Summary!$H:$H)</x:f>
        <x:v>0.63</x:v>
      </x:c>
      <x:c r="C7" s="2"/>
      <x:c r="D7" s="28" t="s">
        <x:v>120</x:v>
      </x:c>
      <x:c r="E7" s="41" t="n">
        <x:f>_xlfn.XLOOKUP("Upside Case",Scenario_Analysis!$A:$A,Scenario_Analysis!$F:$F)</x:f>
        <x:v>10674.720000000001</x:v>
      </x:c>
    </x:row>
    <x:row r="8" ht="57.599998474121094">
      <x:c r="A8" s="30" t="s">
        <x:v>100</x:v>
      </x:c>
      <x:c r="B8" s="32" t="n">
        <x:f>_xlfn.XLOOKUP(DATE(2024,6,1),Monthly_Summary!$A:$A,Monthly_Summary!$E:$E)</x:f>
        <x:v>43750</x:v>
      </x:c>
      <x:c r="C8" s="2"/>
      <x:c r="D8" s="28" t="s">
        <x:v>121</x:v>
      </x:c>
      <x:c r="E8" s="41" t="n">
        <x:f>_xlfn.XLOOKUP("Downside Case",Scenario_Analysis!$A:$A,Scenario_Analysis!$F:$F)</x:f>
        <x:v>9912.24</x:v>
      </x:c>
    </x:row>
    <x:row r="9">
      <x:c r="A9" s="30" t="s">
        <x:v>84</x:v>
      </x:c>
      <x:c r="B9" s="32" t="n">
        <x:f>_xlfn.XLOOKUP(DATE(2024,6,1),Monthly_Summary!$A:$A,Monthly_Summary!$I:$I)</x:f>
        <x:v>-37745.47</x:v>
      </x:c>
      <x:c r="C9" s="2"/>
      <x:c r="D9" s="2"/>
    </x:row>
    <x:row r="10">
      <x:c r="A10" s="30" t="s">
        <x:v>122</x:v>
      </x:c>
      <x:c r="B10" s="31" t="n">
        <x:f>_xlfn.XLOOKUP(DATE(2024,6,1),Monthly_Summary!$A:$A,Monthly_Summary!$J:$J)</x:f>
        <x:v>-3.9602843287037035</x:v>
      </x:c>
    </x:row>
    <x:row r="11">
      <x:c r="A11" s="30" t="s">
        <x:v>123</x:v>
      </x:c>
      <x:c r="B11" s="33" t="n">
        <x:f>_xlfn.XLOOKUP(DATE(2024,6,1),Monthly_Summary!$A:$A,Monthly_Summary!$K:$K)</x:f>
        <x:v>5</x:v>
      </x:c>
    </x:row>
    <x:row r="12">
      <x:c r="A12" s="30" t="s">
        <x:v>124</x:v>
      </x:c>
      <x:c r="B12" s="31" t="n">
        <x:f>_xlfn.XLOOKUP(DATE(2024,6,1),Monthly_Summary!$A:$A,Monthly_Summary!$L:$L)</x:f>
        <x:v>0.2</x:v>
      </x:c>
    </x:row>
    <x:row r="13" ht="15">
      <x:c r="A13" s="34" t="s">
        <x:v>67</x:v>
      </x:c>
      <x:c r="B13" s="35" t="n">
        <x:f>_xlfn.XLOOKUP(DATE(2024,6,1),Monthly_Summary!$A:$A,Monthly_Summary!$M:$M)</x:f>
        <x:v>10800</x:v>
      </x:c>
    </x:row>
    <x:row r="14">
      <x:c r="A14" s="2"/>
      <x:c r="B14" s="2"/>
    </x:row>
    <x:row r="15" ht="15"/>
    <x:row r="16" ht="15.600000381469727">
      <x:c r="A16" s="58" t="s">
        <x:v>125</x:v>
      </x:c>
      <x:c r="B16" s="59"/>
    </x:row>
    <x:row r="17" ht="57.599998474121094" customHeight="1">
      <x:c r="A17" s="56" t="s">
        <x:v>126</x:v>
      </x:c>
      <x:c r="B17" s="57"/>
      <x:c r="C17" s="2"/>
    </x:row>
    <x:row r="18" ht="43.20000076293945" customHeight="1">
      <x:c r="A18" s="56" t="s">
        <x:v>127</x:v>
      </x:c>
      <x:c r="B18" s="57"/>
    </x:row>
    <x:row r="19" ht="43.20000076293945" customHeight="1">
      <x:c r="A19" s="56" t="s">
        <x:v>128</x:v>
      </x:c>
      <x:c r="B19" s="57"/>
    </x:row>
    <x:row r="20" ht="72.5999984741211" customHeight="1">
      <x:c r="A20" s="54" t="s">
        <x:v>129</x:v>
      </x:c>
      <x:c r="B20" s="55"/>
    </x:row>
    <x:row r="21">
      <x:c r="A21" s="2"/>
      <x:c r="B21" s="2"/>
    </x:row>
    <x:row r="23">
      <x:c r="A23" s="53" t="s">
        <x:v>130</x:v>
      </x:c>
      <x:c r="B23" s="53"/>
    </x:row>
    <x:row r="24" ht="43.20000076293945" customHeight="1">
      <x:c r="A24" s="52" t="s">
        <x:v>131</x:v>
      </x:c>
      <x:c r="B24" s="52"/>
    </x:row>
    <x:row r="25" ht="57.599998474121094" customHeight="1">
      <x:c r="A25" s="52" t="s">
        <x:v>132</x:v>
      </x:c>
      <x:c r="B25" s="52"/>
    </x:row>
    <x:row r="26" ht="57.599998474121094" customHeight="1">
      <x:c r="A26" s="52" t="s">
        <x:v>133</x:v>
      </x:c>
      <x:c r="B26" s="52"/>
    </x:row>
    <x:row r="27" ht="43.20000076293945" customHeight="1">
      <x:c r="A27" s="52" t="s">
        <x:v>134</x:v>
      </x:c>
      <x:c r="B27" s="52"/>
    </x:row>
    <x:row r="28">
      <x:c r="A28" s="2"/>
      <x:c r="B28" s="2"/>
    </x:row>
  </x:sheetData>
  <x:mergeCells>
    <x:mergeCell ref="A16:B16"/>
    <x:mergeCell ref="A24:B24"/>
    <x:mergeCell ref="A25:B25"/>
    <x:mergeCell ref="A1:E1"/>
    <x:mergeCell ref="D5:E5"/>
    <x:mergeCell ref="A18:B18"/>
    <x:mergeCell ref="A19:B19"/>
    <x:mergeCell ref="A26:B26"/>
    <x:mergeCell ref="A27:B27"/>
    <x:mergeCell ref="A23:B23"/>
    <x:mergeCell ref="A20:B20"/>
    <x:mergeCell ref="A17:B17"/>
  </x:mergeCells>
  <x:pageMargins left="0.7" right="0.7" top="0.75" bottom="0.75" header="0.3" footer="0.3"/>
</x:worksheet>
</file>