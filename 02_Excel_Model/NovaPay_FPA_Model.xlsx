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AI_Enabled_FPA_Command_Center\02_Excel_Model\"/>
    </mc:Choice>
  </mc:AlternateContent>
  <xr:revisionPtr revIDLastSave="0" documentId="13_ncr:1_{FE770A6D-2228-4B34-BEED-6EBAE734D9BB}" xr6:coauthVersionLast="47" xr6:coauthVersionMax="47" xr10:uidLastSave="{00000000-0000-0000-0000-000000000000}"/>
  <bookViews>
    <workbookView xWindow="-108" yWindow="-108" windowWidth="23256" windowHeight="12456" firstSheet="6" activeTab="9" xr2:uid="{10750CD3-D617-4A62-9171-EF0791BC458F}"/>
  </bookViews>
  <sheets>
    <sheet name="README" sheetId="1" r:id="rId1"/>
    <sheet name="Revenue_Data" sheetId="2" r:id="rId2"/>
    <sheet name="Expense_Data" sheetId="3" r:id="rId3"/>
    <sheet name="Budget_Data" sheetId="4" r:id="rId4"/>
    <sheet name="KPI_Data" sheetId="5" r:id="rId5"/>
    <sheet name="Scenario_Inputs" sheetId="6" r:id="rId6"/>
    <sheet name="Monthly_Summary" sheetId="7" r:id="rId7"/>
    <sheet name="Budget_vs_Actual" sheetId="8" r:id="rId8"/>
    <sheet name="P&amp;L_Model" sheetId="9" r:id="rId9"/>
    <sheet name="Scenario_Analysis" sheetId="10" r:id="rId10"/>
    <sheet name="CFO_Summary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1" l="1"/>
  <c r="E7" i="11"/>
  <c r="E6" i="11"/>
  <c r="B13" i="11"/>
  <c r="B12" i="11"/>
  <c r="B11" i="11"/>
  <c r="B10" i="11"/>
  <c r="B9" i="11"/>
  <c r="B8" i="11"/>
  <c r="B7" i="11"/>
  <c r="B6" i="11"/>
  <c r="G5" i="10"/>
  <c r="G6" i="10"/>
  <c r="G4" i="10"/>
  <c r="F5" i="10"/>
  <c r="F6" i="10"/>
  <c r="F4" i="10"/>
  <c r="E5" i="10"/>
  <c r="E6" i="10"/>
  <c r="E4" i="10"/>
  <c r="D5" i="10"/>
  <c r="D6" i="10"/>
  <c r="D4" i="10"/>
  <c r="C5" i="10"/>
  <c r="C6" i="10"/>
  <c r="C4" i="10"/>
  <c r="B5" i="10"/>
  <c r="B6" i="10"/>
  <c r="B4" i="10"/>
  <c r="C2" i="9"/>
  <c r="D2" i="9"/>
  <c r="E2" i="9"/>
  <c r="E4" i="9" s="1"/>
  <c r="F2" i="9"/>
  <c r="G2" i="9"/>
  <c r="C3" i="9"/>
  <c r="D3" i="9"/>
  <c r="E3" i="9"/>
  <c r="F3" i="9"/>
  <c r="G3" i="9"/>
  <c r="C4" i="9"/>
  <c r="D4" i="9"/>
  <c r="F4" i="9"/>
  <c r="G4" i="9"/>
  <c r="C5" i="9"/>
  <c r="D5" i="9"/>
  <c r="F5" i="9"/>
  <c r="G5" i="9"/>
  <c r="C6" i="9"/>
  <c r="D6" i="9"/>
  <c r="E6" i="9"/>
  <c r="F6" i="9"/>
  <c r="G6" i="9"/>
  <c r="G7" i="9" s="1"/>
  <c r="G8" i="9" s="1"/>
  <c r="C7" i="9"/>
  <c r="D7" i="9"/>
  <c r="F7" i="9"/>
  <c r="C8" i="9"/>
  <c r="D8" i="9"/>
  <c r="F8" i="9"/>
  <c r="B2" i="9"/>
  <c r="B3" i="9"/>
  <c r="B6" i="9"/>
  <c r="M3" i="8"/>
  <c r="M4" i="8"/>
  <c r="M5" i="8"/>
  <c r="M6" i="8"/>
  <c r="M7" i="8"/>
  <c r="L3" i="8"/>
  <c r="L4" i="8"/>
  <c r="L5" i="8"/>
  <c r="L6" i="8"/>
  <c r="L7" i="8"/>
  <c r="K3" i="8"/>
  <c r="K4" i="8"/>
  <c r="K5" i="8"/>
  <c r="K6" i="8"/>
  <c r="K7" i="8"/>
  <c r="J3" i="8"/>
  <c r="J4" i="8"/>
  <c r="J5" i="8"/>
  <c r="J6" i="8"/>
  <c r="J7" i="8"/>
  <c r="I3" i="8"/>
  <c r="I4" i="8"/>
  <c r="I5" i="8"/>
  <c r="I6" i="8"/>
  <c r="I7" i="8"/>
  <c r="H3" i="8"/>
  <c r="H4" i="8"/>
  <c r="H5" i="8"/>
  <c r="H6" i="8"/>
  <c r="H7" i="8"/>
  <c r="G3" i="8"/>
  <c r="G4" i="8"/>
  <c r="G5" i="8"/>
  <c r="G6" i="8"/>
  <c r="G7" i="8"/>
  <c r="F3" i="8"/>
  <c r="F4" i="8"/>
  <c r="F5" i="8"/>
  <c r="F6" i="8"/>
  <c r="F7" i="8"/>
  <c r="E3" i="8"/>
  <c r="E4" i="8"/>
  <c r="E5" i="8"/>
  <c r="E6" i="8"/>
  <c r="E7" i="8"/>
  <c r="D3" i="8"/>
  <c r="D4" i="8"/>
  <c r="D5" i="8"/>
  <c r="D6" i="8"/>
  <c r="D7" i="8"/>
  <c r="C3" i="8"/>
  <c r="C4" i="8"/>
  <c r="C5" i="8"/>
  <c r="C6" i="8"/>
  <c r="C7" i="8"/>
  <c r="B3" i="8"/>
  <c r="B4" i="8"/>
  <c r="B5" i="8"/>
  <c r="B6" i="8"/>
  <c r="B7" i="8"/>
  <c r="M2" i="8"/>
  <c r="L2" i="8"/>
  <c r="K2" i="8"/>
  <c r="J2" i="8"/>
  <c r="I2" i="8"/>
  <c r="H2" i="8"/>
  <c r="G2" i="8"/>
  <c r="F2" i="8"/>
  <c r="E2" i="8"/>
  <c r="D2" i="8"/>
  <c r="C2" i="8"/>
  <c r="B2" i="8"/>
  <c r="L3" i="7"/>
  <c r="L4" i="7"/>
  <c r="L5" i="7"/>
  <c r="L6" i="7"/>
  <c r="L7" i="7"/>
  <c r="K3" i="7"/>
  <c r="K4" i="7"/>
  <c r="K5" i="7"/>
  <c r="K6" i="7"/>
  <c r="K7" i="7"/>
  <c r="J3" i="7"/>
  <c r="J4" i="7"/>
  <c r="J5" i="7"/>
  <c r="J6" i="7"/>
  <c r="J7" i="7"/>
  <c r="I3" i="7"/>
  <c r="I4" i="7"/>
  <c r="I5" i="7"/>
  <c r="I6" i="7"/>
  <c r="I7" i="7"/>
  <c r="H3" i="7"/>
  <c r="H4" i="7"/>
  <c r="H5" i="7"/>
  <c r="H6" i="7"/>
  <c r="H7" i="7"/>
  <c r="G3" i="7"/>
  <c r="G4" i="7"/>
  <c r="G5" i="7"/>
  <c r="G6" i="7"/>
  <c r="G7" i="7"/>
  <c r="F3" i="7"/>
  <c r="F4" i="7"/>
  <c r="F5" i="7"/>
  <c r="F6" i="7"/>
  <c r="F7" i="7"/>
  <c r="E3" i="7"/>
  <c r="E4" i="7"/>
  <c r="E5" i="7"/>
  <c r="E6" i="7"/>
  <c r="E7" i="7"/>
  <c r="D3" i="7"/>
  <c r="D4" i="7"/>
  <c r="D5" i="7"/>
  <c r="D6" i="7"/>
  <c r="D7" i="7"/>
  <c r="C3" i="7"/>
  <c r="C4" i="7"/>
  <c r="C5" i="7"/>
  <c r="C6" i="7"/>
  <c r="C7" i="7"/>
  <c r="B3" i="7"/>
  <c r="B4" i="7"/>
  <c r="B5" i="7"/>
  <c r="B6" i="7"/>
  <c r="B7" i="7"/>
  <c r="L2" i="7"/>
  <c r="K2" i="7"/>
  <c r="J2" i="7"/>
  <c r="I2" i="7"/>
  <c r="H2" i="7"/>
  <c r="G2" i="7"/>
  <c r="F2" i="7"/>
  <c r="E2" i="7"/>
  <c r="D2" i="7"/>
  <c r="C2" i="7"/>
  <c r="B2" i="7"/>
  <c r="E7" i="9" l="1"/>
  <c r="E8" i="9" s="1"/>
  <c r="E5" i="9"/>
  <c r="B4" i="9"/>
  <c r="B5" i="9" l="1"/>
  <c r="B7" i="9"/>
  <c r="B8" i="9" s="1"/>
</calcChain>
</file>

<file path=xl/sharedStrings.xml><?xml version="1.0" encoding="utf-8"?>
<sst xmlns="http://schemas.openxmlformats.org/spreadsheetml/2006/main" count="287" uniqueCount="124">
  <si>
    <t>Month</t>
  </si>
  <si>
    <t>Department</t>
  </si>
  <si>
    <t>Expense_Category</t>
  </si>
  <si>
    <t>Budget_Expense</t>
  </si>
  <si>
    <t>Actual_Expense</t>
  </si>
  <si>
    <t>Vendor</t>
  </si>
  <si>
    <t>Cost_Type</t>
  </si>
  <si>
    <t>Sales</t>
  </si>
  <si>
    <t>Payroll</t>
  </si>
  <si>
    <t>Internal Payroll</t>
  </si>
  <si>
    <t>Fixed</t>
  </si>
  <si>
    <t>Marketing</t>
  </si>
  <si>
    <t>Marketing Spend</t>
  </si>
  <si>
    <t>Google Ads</t>
  </si>
  <si>
    <t>Variable</t>
  </si>
  <si>
    <t>Product</t>
  </si>
  <si>
    <t>Cloud Hosting</t>
  </si>
  <si>
    <t>AWS</t>
  </si>
  <si>
    <t>Customer Support</t>
  </si>
  <si>
    <t>Customer Support Tools</t>
  </si>
  <si>
    <t>Zendesk</t>
  </si>
  <si>
    <t>Operations</t>
  </si>
  <si>
    <t>Software</t>
  </si>
  <si>
    <t>Salesforce</t>
  </si>
  <si>
    <t>G&amp;A</t>
  </si>
  <si>
    <t>Rent</t>
  </si>
  <si>
    <t>WeWork</t>
  </si>
  <si>
    <t>Professional Fees</t>
  </si>
  <si>
    <t>Deloitte</t>
  </si>
  <si>
    <t>NovaPay FP&amp;A Model
Purpose:
This Excel model analyzes monthly revenue, expenses, budget vs actual performance, EBITDA, churn, CAC, and scenario planning for a fictional fintech subscription business.
Data Sources:
Revenue_Data
Expense_Data
Budget_Data
KPI_Data
Scenario_Inputs
Main Outputs:
Monthly Summary
Budget vs Actual Analysis
P&amp;L Model
Scenario Analysis
CFO Summary</t>
  </si>
  <si>
    <t>Customer_ID</t>
  </si>
  <si>
    <t>C001</t>
  </si>
  <si>
    <t>C002</t>
  </si>
  <si>
    <t>C003</t>
  </si>
  <si>
    <t>C004</t>
  </si>
  <si>
    <t>C005</t>
  </si>
  <si>
    <t>C006</t>
  </si>
  <si>
    <t>Budget_Subscription_Revenue</t>
  </si>
  <si>
    <t>Budget_Transaction_Fee_Revenue</t>
  </si>
  <si>
    <t>Budget_Premium_Revenue</t>
  </si>
  <si>
    <t>Budget_Setup_Fee_Revenue</t>
  </si>
  <si>
    <t>Budget_Total_Revenue</t>
  </si>
  <si>
    <t>Budget_COGS</t>
  </si>
  <si>
    <t>Budget_Operating_Expenses</t>
  </si>
  <si>
    <t>Budget_EBITDA</t>
  </si>
  <si>
    <t>Active_Customers</t>
  </si>
  <si>
    <t>New_Customers</t>
  </si>
  <si>
    <t>Lost_Customers</t>
  </si>
  <si>
    <t>Churn_Rate</t>
  </si>
  <si>
    <t>Average_Revenue_Per_Customer</t>
  </si>
  <si>
    <t>CAC</t>
  </si>
  <si>
    <t>Gross_Margin</t>
  </si>
  <si>
    <t>Net_Revenue_Retention</t>
  </si>
  <si>
    <t>Subscription_Revenue</t>
  </si>
  <si>
    <t>Transaction_Volume</t>
  </si>
  <si>
    <t>Transaction_Fee_Revenue</t>
  </si>
  <si>
    <t>Premium_Analytics_Revenue</t>
  </si>
  <si>
    <t>Setup_Fee_Revenue</t>
  </si>
  <si>
    <t>Total_Revenue</t>
  </si>
  <si>
    <t>Scenario</t>
  </si>
  <si>
    <t>Customer_Growth_Rate</t>
  </si>
  <si>
    <t>Transaction_Volume_Growth</t>
  </si>
  <si>
    <t>Pricing_Increase</t>
  </si>
  <si>
    <t>CAC_Change</t>
  </si>
  <si>
    <t>Payroll_Inflation</t>
  </si>
  <si>
    <t>Marketing_Spend_Change</t>
  </si>
  <si>
    <t>Base Case</t>
  </si>
  <si>
    <t>Upside Case</t>
  </si>
  <si>
    <t>Downside Case</t>
  </si>
  <si>
    <t>Actual_Revenue</t>
  </si>
  <si>
    <t>Actual_Expenses</t>
  </si>
  <si>
    <t>Actual_COGS</t>
  </si>
  <si>
    <t>Gross_Profit</t>
  </si>
  <si>
    <t>EBITDA_Margin</t>
  </si>
  <si>
    <t>EBITDA</t>
  </si>
  <si>
    <t>Budget_Revenue</t>
  </si>
  <si>
    <t>Revenue_Variance</t>
  </si>
  <si>
    <t>Revenue_Variance_%</t>
  </si>
  <si>
    <t>Budget_Expenses</t>
  </si>
  <si>
    <t>Expense_Variance</t>
  </si>
  <si>
    <t>Expense_Variance_%</t>
  </si>
  <si>
    <t>Actual_EBITDA</t>
  </si>
  <si>
    <t>EBITDA_Variance_%</t>
  </si>
  <si>
    <t>EBITDA_Variance</t>
  </si>
  <si>
    <t>Metric</t>
  </si>
  <si>
    <t>Revenue</t>
  </si>
  <si>
    <t>COGS</t>
  </si>
  <si>
    <t>Gross Profit</t>
  </si>
  <si>
    <t>Gross Margin %</t>
  </si>
  <si>
    <t>Operating Expenses</t>
  </si>
  <si>
    <t>EBITDA Margin %</t>
  </si>
  <si>
    <t>NovaPay Analytics - Scenario Analysis</t>
  </si>
  <si>
    <t>Revenue_Growth</t>
  </si>
  <si>
    <t>Forecast_Revenue</t>
  </si>
  <si>
    <t>Forecast_EBITDA</t>
  </si>
  <si>
    <t>Scenario Interpretation</t>
  </si>
  <si>
    <t>Base Case:</t>
  </si>
  <si>
    <t>Revenue improves under normal growth assumptions, but EBITDA remains dependent on expense discipline.</t>
  </si>
  <si>
    <t>Upside Case:</t>
  </si>
  <si>
    <t>Higher customer growth and lower churn improve the path toward profitability.</t>
  </si>
  <si>
    <t>Downside Case:</t>
  </si>
  <si>
    <t>Higher churn, higher CAC, and payroll inflation create additional pressure on EBITDA and cash runway.</t>
  </si>
  <si>
    <t>NovaPay Analytics - CFO Summary</t>
  </si>
  <si>
    <t>Latest Month:</t>
  </si>
  <si>
    <t>Key Metrics</t>
  </si>
  <si>
    <t>Total Revenue</t>
  </si>
  <si>
    <t>Gross Margin</t>
  </si>
  <si>
    <t>EBITDA Margin</t>
  </si>
  <si>
    <t>Active Customers</t>
  </si>
  <si>
    <t>Churn Rate</t>
  </si>
  <si>
    <t>Scenario Summary</t>
  </si>
  <si>
    <t>Base Case Forecast Revenue</t>
  </si>
  <si>
    <t>Upside Case Forecast Revenue</t>
  </si>
  <si>
    <t>Downside Case Forecast Revenue</t>
  </si>
  <si>
    <t>Key Insights</t>
  </si>
  <si>
    <t>1. Revenue is growing, but profitability remains negative due to high operating expenses.</t>
  </si>
  <si>
    <t>2. Marketing spend and cloud hosting are major cost pressure areas.</t>
  </si>
  <si>
    <t>3. Churn increased in June, creating risk for recurring revenue quality.</t>
  </si>
  <si>
    <t>4. Scenario planning shows profitability depends on customer growth, CAC control, and expense discipline.</t>
  </si>
  <si>
    <t>Recommended Actions</t>
  </si>
  <si>
    <t>1. Reduce high-variance marketing spend and track campaign-level ROI.</t>
  </si>
  <si>
    <t>2. Monitor churn by customer segment and create retention actions for at-risk customers.</t>
  </si>
  <si>
    <t>3. Improve conversion from Basic to Premium plan to increase recurring revenue quality.</t>
  </si>
  <si>
    <t>4. Control cloud hosting costs as transaction volume grows.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</si>
</sst>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0" fillId="0" borderId="0" xfId="0" applyAlignment="1">
      <alignment horizont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14" fontId="0" fillId="0" borderId="3" xfId="0" applyNumberFormat="1" applyBorder="1"/>
    <xf numFmtId="0" fontId="0" fillId="0" borderId="0" xfId="0" applyBorder="1"/>
    <xf numFmtId="14" fontId="0" fillId="0" borderId="5" xfId="0" applyNumberFormat="1" applyBorder="1"/>
    <xf numFmtId="0" fontId="0" fillId="0" borderId="11" xfId="0" applyBorder="1"/>
    <xf numFmtId="0" fontId="0" fillId="0" borderId="3" xfId="0" applyBorder="1"/>
    <xf numFmtId="44" fontId="0" fillId="0" borderId="0" xfId="0" applyNumberFormat="1" applyBorder="1"/>
    <xf numFmtId="44" fontId="0" fillId="0" borderId="4" xfId="0" applyNumberFormat="1" applyBorder="1"/>
    <xf numFmtId="10" fontId="0" fillId="0" borderId="0" xfId="0" applyNumberFormat="1" applyBorder="1"/>
    <xf numFmtId="10" fontId="0" fillId="0" borderId="4" xfId="0" applyNumberFormat="1" applyBorder="1"/>
    <xf numFmtId="0" fontId="0" fillId="0" borderId="5" xfId="0" applyBorder="1"/>
    <xf numFmtId="10" fontId="0" fillId="0" borderId="11" xfId="0" applyNumberFormat="1" applyBorder="1"/>
    <xf numFmtId="10" fontId="0" fillId="0" borderId="6" xfId="0" applyNumberFormat="1" applyBorder="1"/>
    <xf numFmtId="17" fontId="0" fillId="0" borderId="9" xfId="0" applyNumberFormat="1" applyBorder="1"/>
    <xf numFmtId="17" fontId="0" fillId="0" borderId="10" xfId="0" applyNumberFormat="1" applyBorder="1"/>
    <xf numFmtId="0" fontId="0" fillId="0" borderId="9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44" fontId="0" fillId="0" borderId="11" xfId="0" applyNumberFormat="1" applyBorder="1"/>
    <xf numFmtId="44" fontId="0" fillId="0" borderId="6" xfId="0" applyNumberFormat="1" applyBorder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1" fillId="0" borderId="7" xfId="0" applyFont="1" applyBorder="1"/>
    <xf numFmtId="0" fontId="0" fillId="0" borderId="12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0" xfId="0" applyFont="1" applyAlignment="1">
      <alignment horizontal="center"/>
    </xf>
    <xf numFmtId="0" fontId="1" fillId="0" borderId="8" xfId="0" applyFont="1" applyBorder="1"/>
    <xf numFmtId="0" fontId="0" fillId="0" borderId="13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10" fontId="0" fillId="0" borderId="17" xfId="0" applyNumberFormat="1" applyBorder="1" applyAlignment="1">
      <alignment vertical="center" wrapText="1"/>
    </xf>
    <xf numFmtId="44" fontId="0" fillId="0" borderId="17" xfId="0" applyNumberForma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44" fontId="0" fillId="0" borderId="19" xfId="0" applyNumberFormat="1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44" fontId="0" fillId="0" borderId="15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0" fontId="0" fillId="0" borderId="0" xfId="0" applyNumberFormat="1" applyBorder="1" applyAlignment="1">
      <alignment vertical="center" wrapText="1"/>
    </xf>
    <xf numFmtId="10" fontId="0" fillId="0" borderId="11" xfId="0" applyNumberFormat="1" applyBorder="1" applyAlignment="1">
      <alignment vertical="center" wrapText="1"/>
    </xf>
    <xf numFmtId="44" fontId="0" fillId="0" borderId="20" xfId="0" applyNumberFormat="1" applyBorder="1"/>
    <xf numFmtId="44" fontId="0" fillId="0" borderId="13" xfId="0" applyNumberFormat="1" applyBorder="1"/>
    <xf numFmtId="0" fontId="0" fillId="0" borderId="1" xfId="0" applyBorder="1" applyAlignment="1">
      <alignment horizontal="left"/>
    </xf>
    <xf numFmtId="0" fontId="1" fillId="0" borderId="21" xfId="0" applyFont="1" applyBorder="1"/>
  </cellXfs>
  <cellStyles count="1">
    <cellStyle name="Normal" xfId="0" builtinId="0"/>
  </cellStyles>
  <dxfs count="4"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1EEFC7-5E7A-495B-BA42-ADA4A4EC4FBF}" name="tblRevenue" displayName="tblRevenue" ref="A1:H23" totalsRowShown="0">
  <autoFilter ref="A1:H23" xr:uid="{331EEFC7-5E7A-495B-BA42-ADA4A4EC4FBF}"/>
  <tableColumns count="8">
    <tableColumn id="1" xr3:uid="{246E5822-D5FB-483B-8130-3D4D359DCFEE}" name="Month" dataDxfId="3"/>
    <tableColumn id="2" xr3:uid="{1CA63C52-F374-4A4A-BF81-6954D59E3620}" name="Customer_ID"/>
    <tableColumn id="3" xr3:uid="{33BE89B1-4F9E-447B-956C-4565D32FB22B}" name="Subscription_Revenue"/>
    <tableColumn id="4" xr3:uid="{FE8CEC85-92AF-4F95-8A8D-A8DD22D1D205}" name="Transaction_Volume"/>
    <tableColumn id="5" xr3:uid="{71C56D89-81A9-43B1-81B8-F16113843F03}" name="Transaction_Fee_Revenue"/>
    <tableColumn id="6" xr3:uid="{8382E537-8923-4E72-A2F2-93D4C9E3FDFE}" name="Premium_Analytics_Revenue"/>
    <tableColumn id="7" xr3:uid="{BC462990-FE46-4570-A877-1E0967F39FB4}" name="Setup_Fee_Revenue"/>
    <tableColumn id="8" xr3:uid="{9277C345-772D-422F-B962-9DB2182F47C5}" name="Total_Reven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67021F-ACDC-490D-A0BE-31F8A5B7FC2A}" name="tblExpenses" displayName="tblExpenses" ref="A1:G37" totalsRowShown="0">
  <autoFilter ref="A1:G37" xr:uid="{5D67021F-ACDC-490D-A0BE-31F8A5B7FC2A}"/>
  <tableColumns count="7">
    <tableColumn id="1" xr3:uid="{C4A7344F-25E5-49AC-BAE0-0313BF742FB2}" name="Month" dataDxfId="2"/>
    <tableColumn id="2" xr3:uid="{8E70E6DC-0F8D-4266-A8B9-026BCBFFB429}" name="Department"/>
    <tableColumn id="3" xr3:uid="{286D0BAB-B274-490B-A1E5-F713FA5DD856}" name="Expense_Category"/>
    <tableColumn id="4" xr3:uid="{CF986521-8975-4F68-89F8-2A6FDD86793A}" name="Budget_Expense"/>
    <tableColumn id="5" xr3:uid="{D5BED23C-CF1B-4035-8840-48475D3D06FB}" name="Actual_Expense"/>
    <tableColumn id="6" xr3:uid="{95953BAE-9C16-41D1-B5F6-4568154A7EEC}" name="Vendor"/>
    <tableColumn id="7" xr3:uid="{C985011E-CBE0-45E6-A746-52859BA90785}" name="Cost_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1E336D-2C2A-4350-80B6-C0C87B5BE4F1}" name="tblBudget" displayName="tblBudget" ref="A1:I7" totalsRowShown="0">
  <autoFilter ref="A1:I7" xr:uid="{1D1E336D-2C2A-4350-80B6-C0C87B5BE4F1}"/>
  <tableColumns count="9">
    <tableColumn id="1" xr3:uid="{B3EC1F11-9416-454E-9C19-816D3B7512DB}" name="Month" dataDxfId="1"/>
    <tableColumn id="2" xr3:uid="{3C66F1B3-B262-48AD-8BFD-F2ABA924550E}" name="Budget_Subscription_Revenue"/>
    <tableColumn id="3" xr3:uid="{0C477DB3-1682-40F3-B40C-7DFCF9F45A9F}" name="Budget_Transaction_Fee_Revenue"/>
    <tableColumn id="4" xr3:uid="{136905A6-0622-494A-82AF-63ADCC654A0C}" name="Budget_Premium_Revenue"/>
    <tableColumn id="5" xr3:uid="{49330B02-1382-4AB6-A87F-62DE8FA2F13C}" name="Budget_Setup_Fee_Revenue"/>
    <tableColumn id="6" xr3:uid="{A70092BC-17F7-4FA3-98A5-786D73133693}" name="Budget_Total_Revenue"/>
    <tableColumn id="7" xr3:uid="{63CA31FF-A6F9-4086-A2BD-E239CF5A5F75}" name="Budget_COGS"/>
    <tableColumn id="8" xr3:uid="{A1886DC9-0CB6-4A67-8423-8D1A16D81D61}" name="Budget_Operating_Expenses"/>
    <tableColumn id="9" xr3:uid="{29F61419-FF51-4DA5-8033-0AB305E49960}" name="Budget_EBITD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9507C8-1C31-49A1-9C63-A3694CBE5AD9}" name="tblKPI" displayName="tblKPI" ref="A1:I7" totalsRowShown="0">
  <autoFilter ref="A1:I7" xr:uid="{189507C8-1C31-49A1-9C63-A3694CBE5AD9}"/>
  <tableColumns count="9">
    <tableColumn id="1" xr3:uid="{57DCB822-B31E-4C46-A56D-0C6C1D72CF31}" name="Month" dataDxfId="0"/>
    <tableColumn id="2" xr3:uid="{DE49599B-C810-447A-929D-77BE2A28CA0B}" name="Active_Customers"/>
    <tableColumn id="3" xr3:uid="{2D9688A0-0322-44A9-9B1E-7341EA5191FF}" name="New_Customers"/>
    <tableColumn id="4" xr3:uid="{9278C345-5C28-4C39-AB87-2D8B7C2FCF18}" name="Lost_Customers"/>
    <tableColumn id="5" xr3:uid="{919B07F4-1D04-403A-BDED-4211F8AAB041}" name="Churn_Rate"/>
    <tableColumn id="6" xr3:uid="{0548E9AD-D95E-4143-A631-A5F53DC92AEE}" name="Average_Revenue_Per_Customer"/>
    <tableColumn id="7" xr3:uid="{343E232C-7059-4E88-BA61-9025C6A9F9D2}" name="CAC"/>
    <tableColumn id="8" xr3:uid="{23F8E9C9-C57E-49FD-A349-CFAF0EF537C2}" name="Gross_Margin"/>
    <tableColumn id="9" xr3:uid="{6BB8E304-A19C-44AC-AB98-230AEA2CBF5C}" name="Net_Revenue_Reten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3CF6E6-B4F3-4538-AE44-43442FE1DBCD}" name="tblScenarios" displayName="tblScenarios" ref="A1:H4" totalsRowShown="0">
  <autoFilter ref="A1:H4" xr:uid="{5A3CF6E6-B4F3-4538-AE44-43442FE1DBCD}"/>
  <tableColumns count="8">
    <tableColumn id="1" xr3:uid="{5F3391A5-9F30-414A-8B5B-CC9EB3072AA1}" name="Scenario"/>
    <tableColumn id="2" xr3:uid="{823219E4-7212-40BA-8042-2B28C49ABF78}" name="Customer_Growth_Rate"/>
    <tableColumn id="3" xr3:uid="{D6A38F0B-F970-436E-BFE9-03051AED021A}" name="Churn_Rate"/>
    <tableColumn id="4" xr3:uid="{892E7D16-B1E1-4242-AB7B-B5DF4EC99916}" name="Transaction_Volume_Growth"/>
    <tableColumn id="5" xr3:uid="{A3943338-1B7C-42EC-BFFC-4DA3BFC4D101}" name="Pricing_Increase"/>
    <tableColumn id="6" xr3:uid="{B452B5B8-8EA8-4B62-B9AD-298977A2819A}" name="CAC_Change"/>
    <tableColumn id="7" xr3:uid="{FFAFF6E1-0230-4D1F-8D08-CCF66F364287}" name="Payroll_Inflation"/>
    <tableColumn id="8" xr3:uid="{CE216CA6-77BA-4660-91D2-B62040EDC2C3}" name="Marketing_Spend_Chan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5189-A0CF-43D4-B0D0-E42120A1F39C}">
  <dimension ref="D2:J22"/>
  <sheetViews>
    <sheetView workbookViewId="0">
      <selection activeCell="D2" sqref="D2:J22"/>
    </sheetView>
  </sheetViews>
  <sheetFormatPr defaultRowHeight="14.4" x14ac:dyDescent="0.3"/>
  <sheetData>
    <row r="2" spans="4:10" x14ac:dyDescent="0.3">
      <c r="D2" s="7" t="s">
        <v>29</v>
      </c>
      <c r="E2" s="7"/>
      <c r="F2" s="7"/>
      <c r="G2" s="7"/>
      <c r="H2" s="7"/>
      <c r="I2" s="7"/>
      <c r="J2" s="7"/>
    </row>
    <row r="3" spans="4:10" x14ac:dyDescent="0.3">
      <c r="D3" s="7"/>
      <c r="E3" s="7"/>
      <c r="F3" s="7"/>
      <c r="G3" s="7"/>
      <c r="H3" s="7"/>
      <c r="I3" s="7"/>
      <c r="J3" s="7"/>
    </row>
    <row r="4" spans="4:10" x14ac:dyDescent="0.3">
      <c r="D4" s="7"/>
      <c r="E4" s="7"/>
      <c r="F4" s="7"/>
      <c r="G4" s="7"/>
      <c r="H4" s="7"/>
      <c r="I4" s="7"/>
      <c r="J4" s="7"/>
    </row>
    <row r="5" spans="4:10" x14ac:dyDescent="0.3">
      <c r="D5" s="7"/>
      <c r="E5" s="7"/>
      <c r="F5" s="7"/>
      <c r="G5" s="7"/>
      <c r="H5" s="7"/>
      <c r="I5" s="7"/>
      <c r="J5" s="7"/>
    </row>
    <row r="6" spans="4:10" x14ac:dyDescent="0.3">
      <c r="D6" s="7"/>
      <c r="E6" s="7"/>
      <c r="F6" s="7"/>
      <c r="G6" s="7"/>
      <c r="H6" s="7"/>
      <c r="I6" s="7"/>
      <c r="J6" s="7"/>
    </row>
    <row r="7" spans="4:10" x14ac:dyDescent="0.3">
      <c r="D7" s="7"/>
      <c r="E7" s="7"/>
      <c r="F7" s="7"/>
      <c r="G7" s="7"/>
      <c r="H7" s="7"/>
      <c r="I7" s="7"/>
      <c r="J7" s="7"/>
    </row>
    <row r="8" spans="4:10" x14ac:dyDescent="0.3">
      <c r="D8" s="7"/>
      <c r="E8" s="7"/>
      <c r="F8" s="7"/>
      <c r="G8" s="7"/>
      <c r="H8" s="7"/>
      <c r="I8" s="7"/>
      <c r="J8" s="7"/>
    </row>
    <row r="9" spans="4:10" x14ac:dyDescent="0.3">
      <c r="D9" s="7"/>
      <c r="E9" s="7"/>
      <c r="F9" s="7"/>
      <c r="G9" s="7"/>
      <c r="H9" s="7"/>
      <c r="I9" s="7"/>
      <c r="J9" s="7"/>
    </row>
    <row r="10" spans="4:10" x14ac:dyDescent="0.3">
      <c r="D10" s="7"/>
      <c r="E10" s="7"/>
      <c r="F10" s="7"/>
      <c r="G10" s="7"/>
      <c r="H10" s="7"/>
      <c r="I10" s="7"/>
      <c r="J10" s="7"/>
    </row>
    <row r="11" spans="4:10" x14ac:dyDescent="0.3">
      <c r="D11" s="7"/>
      <c r="E11" s="7"/>
      <c r="F11" s="7"/>
      <c r="G11" s="7"/>
      <c r="H11" s="7"/>
      <c r="I11" s="7"/>
      <c r="J11" s="7"/>
    </row>
    <row r="12" spans="4:10" x14ac:dyDescent="0.3">
      <c r="D12" s="7"/>
      <c r="E12" s="7"/>
      <c r="F12" s="7"/>
      <c r="G12" s="7"/>
      <c r="H12" s="7"/>
      <c r="I12" s="7"/>
      <c r="J12" s="7"/>
    </row>
    <row r="13" spans="4:10" x14ac:dyDescent="0.3">
      <c r="D13" s="7"/>
      <c r="E13" s="7"/>
      <c r="F13" s="7"/>
      <c r="G13" s="7"/>
      <c r="H13" s="7"/>
      <c r="I13" s="7"/>
      <c r="J13" s="7"/>
    </row>
    <row r="14" spans="4:10" x14ac:dyDescent="0.3">
      <c r="D14" s="7"/>
      <c r="E14" s="7"/>
      <c r="F14" s="7"/>
      <c r="G14" s="7"/>
      <c r="H14" s="7"/>
      <c r="I14" s="7"/>
      <c r="J14" s="7"/>
    </row>
    <row r="15" spans="4:10" x14ac:dyDescent="0.3">
      <c r="D15" s="7"/>
      <c r="E15" s="7"/>
      <c r="F15" s="7"/>
      <c r="G15" s="7"/>
      <c r="H15" s="7"/>
      <c r="I15" s="7"/>
      <c r="J15" s="7"/>
    </row>
    <row r="16" spans="4:10" x14ac:dyDescent="0.3">
      <c r="D16" s="7"/>
      <c r="E16" s="7"/>
      <c r="F16" s="7"/>
      <c r="G16" s="7"/>
      <c r="H16" s="7"/>
      <c r="I16" s="7"/>
      <c r="J16" s="7"/>
    </row>
    <row r="17" spans="4:10" x14ac:dyDescent="0.3">
      <c r="D17" s="7"/>
      <c r="E17" s="7"/>
      <c r="F17" s="7"/>
      <c r="G17" s="7"/>
      <c r="H17" s="7"/>
      <c r="I17" s="7"/>
      <c r="J17" s="7"/>
    </row>
    <row r="18" spans="4:10" x14ac:dyDescent="0.3">
      <c r="D18" s="7"/>
      <c r="E18" s="7"/>
      <c r="F18" s="7"/>
      <c r="G18" s="7"/>
      <c r="H18" s="7"/>
      <c r="I18" s="7"/>
      <c r="J18" s="7"/>
    </row>
    <row r="19" spans="4:10" x14ac:dyDescent="0.3">
      <c r="D19" s="7"/>
      <c r="E19" s="7"/>
      <c r="F19" s="7"/>
      <c r="G19" s="7"/>
      <c r="H19" s="7"/>
      <c r="I19" s="7"/>
      <c r="J19" s="7"/>
    </row>
    <row r="20" spans="4:10" x14ac:dyDescent="0.3">
      <c r="D20" s="7"/>
      <c r="E20" s="7"/>
      <c r="F20" s="7"/>
      <c r="G20" s="7"/>
      <c r="H20" s="7"/>
      <c r="I20" s="7"/>
      <c r="J20" s="7"/>
    </row>
    <row r="21" spans="4:10" x14ac:dyDescent="0.3">
      <c r="D21" s="7"/>
      <c r="E21" s="7"/>
      <c r="F21" s="7"/>
      <c r="G21" s="7"/>
      <c r="H21" s="7"/>
      <c r="I21" s="7"/>
      <c r="J21" s="7"/>
    </row>
    <row r="22" spans="4:10" x14ac:dyDescent="0.3">
      <c r="D22" s="7"/>
      <c r="E22" s="7"/>
      <c r="F22" s="7"/>
      <c r="G22" s="7"/>
      <c r="H22" s="7"/>
      <c r="I22" s="7"/>
      <c r="J22" s="7"/>
    </row>
  </sheetData>
  <mergeCells count="1">
    <mergeCell ref="D2:J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D5F31-C04E-4B9C-8149-8D841F4777CA}">
  <dimension ref="A1:H23"/>
  <sheetViews>
    <sheetView workbookViewId="0">
      <selection activeCell="I13" sqref="I13"/>
    </sheetView>
  </sheetViews>
  <sheetFormatPr defaultRowHeight="14.4" x14ac:dyDescent="0.3"/>
  <cols>
    <col min="2" max="2" width="13.5546875" customWidth="1"/>
    <col min="3" max="3" width="21.33203125" customWidth="1"/>
    <col min="4" max="4" width="19.6640625" customWidth="1"/>
    <col min="5" max="5" width="24.109375" customWidth="1"/>
    <col min="6" max="6" width="26.77734375" customWidth="1"/>
    <col min="7" max="7" width="19.33203125" customWidth="1"/>
    <col min="8" max="8" width="14.77734375" customWidth="1"/>
  </cols>
  <sheetData>
    <row r="1" spans="1:8" x14ac:dyDescent="0.3">
      <c r="A1" t="s">
        <v>0</v>
      </c>
      <c r="B1" t="s">
        <v>30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  <c r="H1" t="s">
        <v>58</v>
      </c>
    </row>
    <row r="2" spans="1:8" x14ac:dyDescent="0.3">
      <c r="A2" s="1">
        <v>45292</v>
      </c>
      <c r="B2" t="s">
        <v>31</v>
      </c>
      <c r="C2">
        <v>299</v>
      </c>
      <c r="D2">
        <v>45000</v>
      </c>
      <c r="E2">
        <v>585</v>
      </c>
      <c r="F2">
        <v>0</v>
      </c>
      <c r="G2">
        <v>500</v>
      </c>
      <c r="H2">
        <v>1384</v>
      </c>
    </row>
    <row r="3" spans="1:8" x14ac:dyDescent="0.3">
      <c r="A3" s="1">
        <v>45323</v>
      </c>
      <c r="B3" t="s">
        <v>31</v>
      </c>
      <c r="C3">
        <v>299</v>
      </c>
      <c r="D3">
        <v>47000</v>
      </c>
      <c r="E3">
        <v>611</v>
      </c>
      <c r="F3">
        <v>0</v>
      </c>
      <c r="G3">
        <v>0</v>
      </c>
      <c r="H3">
        <v>910</v>
      </c>
    </row>
    <row r="4" spans="1:8" x14ac:dyDescent="0.3">
      <c r="A4" s="1">
        <v>45352</v>
      </c>
      <c r="B4" t="s">
        <v>31</v>
      </c>
      <c r="C4">
        <v>299</v>
      </c>
      <c r="D4">
        <v>51000</v>
      </c>
      <c r="E4">
        <v>663</v>
      </c>
      <c r="F4">
        <v>0</v>
      </c>
      <c r="G4">
        <v>0</v>
      </c>
      <c r="H4">
        <v>962</v>
      </c>
    </row>
    <row r="5" spans="1:8" x14ac:dyDescent="0.3">
      <c r="A5" s="1">
        <v>45383</v>
      </c>
      <c r="B5" t="s">
        <v>31</v>
      </c>
      <c r="C5">
        <v>299</v>
      </c>
      <c r="D5">
        <v>53000</v>
      </c>
      <c r="E5">
        <v>689</v>
      </c>
      <c r="F5">
        <v>0</v>
      </c>
      <c r="G5">
        <v>0</v>
      </c>
      <c r="H5">
        <v>988</v>
      </c>
    </row>
    <row r="6" spans="1:8" x14ac:dyDescent="0.3">
      <c r="A6" s="1">
        <v>45413</v>
      </c>
      <c r="B6" t="s">
        <v>31</v>
      </c>
      <c r="C6">
        <v>299</v>
      </c>
      <c r="D6">
        <v>56000</v>
      </c>
      <c r="E6">
        <v>728</v>
      </c>
      <c r="F6">
        <v>0</v>
      </c>
      <c r="G6">
        <v>0</v>
      </c>
      <c r="H6">
        <v>1027</v>
      </c>
    </row>
    <row r="7" spans="1:8" x14ac:dyDescent="0.3">
      <c r="A7" s="1">
        <v>45444</v>
      </c>
      <c r="B7" t="s">
        <v>31</v>
      </c>
      <c r="C7">
        <v>299</v>
      </c>
      <c r="D7">
        <v>59000</v>
      </c>
      <c r="E7">
        <v>767</v>
      </c>
      <c r="F7">
        <v>0</v>
      </c>
      <c r="G7">
        <v>0</v>
      </c>
      <c r="H7">
        <v>1066</v>
      </c>
    </row>
    <row r="8" spans="1:8" x14ac:dyDescent="0.3">
      <c r="A8" s="1">
        <v>45292</v>
      </c>
      <c r="B8" t="s">
        <v>32</v>
      </c>
      <c r="C8">
        <v>799</v>
      </c>
      <c r="D8">
        <v>85000</v>
      </c>
      <c r="E8">
        <v>1105</v>
      </c>
      <c r="F8">
        <v>199</v>
      </c>
      <c r="G8">
        <v>700</v>
      </c>
      <c r="H8">
        <v>2803</v>
      </c>
    </row>
    <row r="9" spans="1:8" x14ac:dyDescent="0.3">
      <c r="A9" s="1">
        <v>45323</v>
      </c>
      <c r="B9" t="s">
        <v>32</v>
      </c>
      <c r="C9">
        <v>799</v>
      </c>
      <c r="D9">
        <v>88000</v>
      </c>
      <c r="E9">
        <v>1144</v>
      </c>
      <c r="F9">
        <v>199</v>
      </c>
      <c r="G9">
        <v>0</v>
      </c>
      <c r="H9">
        <v>2142</v>
      </c>
    </row>
    <row r="10" spans="1:8" x14ac:dyDescent="0.3">
      <c r="A10" s="1">
        <v>45352</v>
      </c>
      <c r="B10" t="s">
        <v>32</v>
      </c>
      <c r="C10">
        <v>799</v>
      </c>
      <c r="D10">
        <v>91000</v>
      </c>
      <c r="E10">
        <v>1183</v>
      </c>
      <c r="F10">
        <v>199</v>
      </c>
      <c r="G10">
        <v>0</v>
      </c>
      <c r="H10">
        <v>2181</v>
      </c>
    </row>
    <row r="11" spans="1:8" x14ac:dyDescent="0.3">
      <c r="A11" s="1">
        <v>45383</v>
      </c>
      <c r="B11" t="s">
        <v>32</v>
      </c>
      <c r="C11">
        <v>799</v>
      </c>
      <c r="D11">
        <v>94000</v>
      </c>
      <c r="E11">
        <v>1222</v>
      </c>
      <c r="F11">
        <v>199</v>
      </c>
      <c r="G11">
        <v>0</v>
      </c>
      <c r="H11">
        <v>2220</v>
      </c>
    </row>
    <row r="12" spans="1:8" x14ac:dyDescent="0.3">
      <c r="A12" s="1">
        <v>45413</v>
      </c>
      <c r="B12" t="s">
        <v>32</v>
      </c>
      <c r="C12">
        <v>799</v>
      </c>
      <c r="D12">
        <v>97000</v>
      </c>
      <c r="E12">
        <v>1261</v>
      </c>
      <c r="F12">
        <v>199</v>
      </c>
      <c r="G12">
        <v>0</v>
      </c>
      <c r="H12">
        <v>2259</v>
      </c>
    </row>
    <row r="13" spans="1:8" x14ac:dyDescent="0.3">
      <c r="A13" s="1">
        <v>45444</v>
      </c>
      <c r="B13" t="s">
        <v>32</v>
      </c>
      <c r="C13">
        <v>799</v>
      </c>
      <c r="D13">
        <v>102000</v>
      </c>
      <c r="E13">
        <v>1326</v>
      </c>
      <c r="F13">
        <v>199</v>
      </c>
      <c r="G13">
        <v>0</v>
      </c>
      <c r="H13">
        <v>2324</v>
      </c>
    </row>
    <row r="14" spans="1:8" x14ac:dyDescent="0.3">
      <c r="A14" s="1">
        <v>45352</v>
      </c>
      <c r="B14" t="s">
        <v>33</v>
      </c>
      <c r="C14">
        <v>299</v>
      </c>
      <c r="D14">
        <v>32000</v>
      </c>
      <c r="E14">
        <v>416</v>
      </c>
      <c r="F14">
        <v>0</v>
      </c>
      <c r="G14">
        <v>500</v>
      </c>
      <c r="H14">
        <v>1215</v>
      </c>
    </row>
    <row r="15" spans="1:8" x14ac:dyDescent="0.3">
      <c r="A15" s="1">
        <v>45383</v>
      </c>
      <c r="B15" t="s">
        <v>33</v>
      </c>
      <c r="C15">
        <v>299</v>
      </c>
      <c r="D15">
        <v>30000</v>
      </c>
      <c r="E15">
        <v>390</v>
      </c>
      <c r="F15">
        <v>0</v>
      </c>
      <c r="G15">
        <v>0</v>
      </c>
      <c r="H15">
        <v>689</v>
      </c>
    </row>
    <row r="16" spans="1:8" x14ac:dyDescent="0.3">
      <c r="A16" s="1">
        <v>45413</v>
      </c>
      <c r="B16" t="s">
        <v>33</v>
      </c>
      <c r="C16">
        <v>299</v>
      </c>
      <c r="D16">
        <v>28000</v>
      </c>
      <c r="E16">
        <v>364</v>
      </c>
      <c r="F16">
        <v>0</v>
      </c>
      <c r="G16">
        <v>0</v>
      </c>
      <c r="H16">
        <v>663</v>
      </c>
    </row>
    <row r="17" spans="1:8" x14ac:dyDescent="0.3">
      <c r="A17" s="1">
        <v>45444</v>
      </c>
      <c r="B17" t="s">
        <v>33</v>
      </c>
      <c r="C17">
        <v>299</v>
      </c>
      <c r="D17">
        <v>25000</v>
      </c>
      <c r="E17">
        <v>325</v>
      </c>
      <c r="F17">
        <v>0</v>
      </c>
      <c r="G17">
        <v>0</v>
      </c>
      <c r="H17">
        <v>624</v>
      </c>
    </row>
    <row r="18" spans="1:8" x14ac:dyDescent="0.3">
      <c r="A18" s="1">
        <v>45383</v>
      </c>
      <c r="B18" t="s">
        <v>34</v>
      </c>
      <c r="C18">
        <v>799</v>
      </c>
      <c r="D18">
        <v>76000</v>
      </c>
      <c r="E18">
        <v>988</v>
      </c>
      <c r="F18">
        <v>199</v>
      </c>
      <c r="G18">
        <v>700</v>
      </c>
      <c r="H18">
        <v>2686</v>
      </c>
    </row>
    <row r="19" spans="1:8" x14ac:dyDescent="0.3">
      <c r="A19" s="1">
        <v>45413</v>
      </c>
      <c r="B19" t="s">
        <v>34</v>
      </c>
      <c r="C19">
        <v>799</v>
      </c>
      <c r="D19">
        <v>80000</v>
      </c>
      <c r="E19">
        <v>1040</v>
      </c>
      <c r="F19">
        <v>199</v>
      </c>
      <c r="G19">
        <v>0</v>
      </c>
      <c r="H19">
        <v>2038</v>
      </c>
    </row>
    <row r="20" spans="1:8" x14ac:dyDescent="0.3">
      <c r="A20" s="1">
        <v>45444</v>
      </c>
      <c r="B20" t="s">
        <v>34</v>
      </c>
      <c r="C20">
        <v>799</v>
      </c>
      <c r="D20">
        <v>84000</v>
      </c>
      <c r="E20">
        <v>1092</v>
      </c>
      <c r="F20">
        <v>199</v>
      </c>
      <c r="G20">
        <v>0</v>
      </c>
      <c r="H20">
        <v>2090</v>
      </c>
    </row>
    <row r="21" spans="1:8" x14ac:dyDescent="0.3">
      <c r="A21" s="1">
        <v>45413</v>
      </c>
      <c r="B21" t="s">
        <v>35</v>
      </c>
      <c r="C21">
        <v>299</v>
      </c>
      <c r="D21">
        <v>38000</v>
      </c>
      <c r="E21">
        <v>494</v>
      </c>
      <c r="F21">
        <v>0</v>
      </c>
      <c r="G21">
        <v>500</v>
      </c>
      <c r="H21">
        <v>1293</v>
      </c>
    </row>
    <row r="22" spans="1:8" x14ac:dyDescent="0.3">
      <c r="A22" s="1">
        <v>45444</v>
      </c>
      <c r="B22" t="s">
        <v>35</v>
      </c>
      <c r="C22">
        <v>299</v>
      </c>
      <c r="D22">
        <v>41000</v>
      </c>
      <c r="E22">
        <v>533</v>
      </c>
      <c r="F22">
        <v>0</v>
      </c>
      <c r="G22">
        <v>0</v>
      </c>
      <c r="H22">
        <v>832</v>
      </c>
    </row>
    <row r="23" spans="1:8" x14ac:dyDescent="0.3">
      <c r="A23" s="1">
        <v>45444</v>
      </c>
      <c r="B23" t="s">
        <v>36</v>
      </c>
      <c r="C23">
        <v>799</v>
      </c>
      <c r="D23">
        <v>69000</v>
      </c>
      <c r="E23">
        <v>897</v>
      </c>
      <c r="F23">
        <v>199</v>
      </c>
      <c r="G23">
        <v>700</v>
      </c>
      <c r="H23">
        <v>2595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7C19-25D7-4685-ABD7-DBEB3CF068ED}">
  <dimension ref="A1:G37"/>
  <sheetViews>
    <sheetView workbookViewId="0">
      <selection sqref="A1:G37"/>
    </sheetView>
  </sheetViews>
  <sheetFormatPr defaultRowHeight="14.4" x14ac:dyDescent="0.3"/>
  <cols>
    <col min="2" max="2" width="12.88671875" customWidth="1"/>
    <col min="3" max="3" width="17.88671875" customWidth="1"/>
    <col min="4" max="4" width="16.33203125" customWidth="1"/>
    <col min="5" max="5" width="15.88671875" customWidth="1"/>
    <col min="7" max="7" width="11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>
        <v>45292</v>
      </c>
      <c r="B2" t="s">
        <v>7</v>
      </c>
      <c r="C2" t="s">
        <v>8</v>
      </c>
      <c r="D2">
        <v>12000</v>
      </c>
      <c r="E2">
        <v>12000</v>
      </c>
      <c r="F2" t="s">
        <v>9</v>
      </c>
      <c r="G2" t="s">
        <v>10</v>
      </c>
    </row>
    <row r="3" spans="1:7" x14ac:dyDescent="0.3">
      <c r="A3" s="1">
        <v>45292</v>
      </c>
      <c r="B3" t="s">
        <v>11</v>
      </c>
      <c r="C3" t="s">
        <v>12</v>
      </c>
      <c r="D3">
        <v>8000</v>
      </c>
      <c r="E3">
        <v>9200</v>
      </c>
      <c r="F3" t="s">
        <v>13</v>
      </c>
      <c r="G3" t="s">
        <v>14</v>
      </c>
    </row>
    <row r="4" spans="1:7" x14ac:dyDescent="0.3">
      <c r="A4" s="1">
        <v>45292</v>
      </c>
      <c r="B4" t="s">
        <v>15</v>
      </c>
      <c r="C4" t="s">
        <v>16</v>
      </c>
      <c r="D4">
        <v>4500</v>
      </c>
      <c r="E4">
        <v>5100</v>
      </c>
      <c r="F4" t="s">
        <v>17</v>
      </c>
      <c r="G4" t="s">
        <v>14</v>
      </c>
    </row>
    <row r="5" spans="1:7" x14ac:dyDescent="0.3">
      <c r="A5" s="1">
        <v>45292</v>
      </c>
      <c r="B5" t="s">
        <v>18</v>
      </c>
      <c r="C5" t="s">
        <v>19</v>
      </c>
      <c r="D5">
        <v>2500</v>
      </c>
      <c r="E5">
        <v>2400</v>
      </c>
      <c r="F5" t="s">
        <v>20</v>
      </c>
      <c r="G5" t="s">
        <v>10</v>
      </c>
    </row>
    <row r="6" spans="1:7" x14ac:dyDescent="0.3">
      <c r="A6" s="1">
        <v>45292</v>
      </c>
      <c r="B6" t="s">
        <v>21</v>
      </c>
      <c r="C6" t="s">
        <v>22</v>
      </c>
      <c r="D6">
        <v>3000</v>
      </c>
      <c r="E6">
        <v>3150</v>
      </c>
      <c r="F6" t="s">
        <v>23</v>
      </c>
      <c r="G6" t="s">
        <v>10</v>
      </c>
    </row>
    <row r="7" spans="1:7" x14ac:dyDescent="0.3">
      <c r="A7" s="1">
        <v>45292</v>
      </c>
      <c r="B7" t="s">
        <v>24</v>
      </c>
      <c r="C7" t="s">
        <v>25</v>
      </c>
      <c r="D7">
        <v>6000</v>
      </c>
      <c r="E7">
        <v>6000</v>
      </c>
      <c r="F7" t="s">
        <v>26</v>
      </c>
      <c r="G7" t="s">
        <v>10</v>
      </c>
    </row>
    <row r="8" spans="1:7" x14ac:dyDescent="0.3">
      <c r="A8" s="1">
        <v>45323</v>
      </c>
      <c r="B8" t="s">
        <v>7</v>
      </c>
      <c r="C8" t="s">
        <v>8</v>
      </c>
      <c r="D8">
        <v>12000</v>
      </c>
      <c r="E8">
        <v>12200</v>
      </c>
      <c r="F8" t="s">
        <v>9</v>
      </c>
      <c r="G8" t="s">
        <v>10</v>
      </c>
    </row>
    <row r="9" spans="1:7" x14ac:dyDescent="0.3">
      <c r="A9" s="1">
        <v>45323</v>
      </c>
      <c r="B9" t="s">
        <v>11</v>
      </c>
      <c r="C9" t="s">
        <v>12</v>
      </c>
      <c r="D9">
        <v>8500</v>
      </c>
      <c r="E9">
        <v>8700</v>
      </c>
      <c r="F9" t="s">
        <v>13</v>
      </c>
      <c r="G9" t="s">
        <v>14</v>
      </c>
    </row>
    <row r="10" spans="1:7" x14ac:dyDescent="0.3">
      <c r="A10" s="1">
        <v>45323</v>
      </c>
      <c r="B10" t="s">
        <v>15</v>
      </c>
      <c r="C10" t="s">
        <v>16</v>
      </c>
      <c r="D10">
        <v>4700</v>
      </c>
      <c r="E10">
        <v>5350</v>
      </c>
      <c r="F10" t="s">
        <v>17</v>
      </c>
      <c r="G10" t="s">
        <v>14</v>
      </c>
    </row>
    <row r="11" spans="1:7" x14ac:dyDescent="0.3">
      <c r="A11" s="1">
        <v>45323</v>
      </c>
      <c r="B11" t="s">
        <v>18</v>
      </c>
      <c r="C11" t="s">
        <v>19</v>
      </c>
      <c r="D11">
        <v>2500</v>
      </c>
      <c r="E11">
        <v>2550</v>
      </c>
      <c r="F11" t="s">
        <v>20</v>
      </c>
      <c r="G11" t="s">
        <v>10</v>
      </c>
    </row>
    <row r="12" spans="1:7" x14ac:dyDescent="0.3">
      <c r="A12" s="1">
        <v>45323</v>
      </c>
      <c r="B12" t="s">
        <v>21</v>
      </c>
      <c r="C12" t="s">
        <v>22</v>
      </c>
      <c r="D12">
        <v>3000</v>
      </c>
      <c r="E12">
        <v>3200</v>
      </c>
      <c r="F12" t="s">
        <v>23</v>
      </c>
      <c r="G12" t="s">
        <v>10</v>
      </c>
    </row>
    <row r="13" spans="1:7" x14ac:dyDescent="0.3">
      <c r="A13" s="1">
        <v>45323</v>
      </c>
      <c r="B13" t="s">
        <v>24</v>
      </c>
      <c r="C13" t="s">
        <v>25</v>
      </c>
      <c r="D13">
        <v>6000</v>
      </c>
      <c r="E13">
        <v>6000</v>
      </c>
      <c r="F13" t="s">
        <v>26</v>
      </c>
      <c r="G13" t="s">
        <v>10</v>
      </c>
    </row>
    <row r="14" spans="1:7" x14ac:dyDescent="0.3">
      <c r="A14" s="1">
        <v>45352</v>
      </c>
      <c r="B14" t="s">
        <v>7</v>
      </c>
      <c r="C14" t="s">
        <v>8</v>
      </c>
      <c r="D14">
        <v>12500</v>
      </c>
      <c r="E14">
        <v>12600</v>
      </c>
      <c r="F14" t="s">
        <v>9</v>
      </c>
      <c r="G14" t="s">
        <v>10</v>
      </c>
    </row>
    <row r="15" spans="1:7" x14ac:dyDescent="0.3">
      <c r="A15" s="1">
        <v>45352</v>
      </c>
      <c r="B15" t="s">
        <v>11</v>
      </c>
      <c r="C15" t="s">
        <v>12</v>
      </c>
      <c r="D15">
        <v>9000</v>
      </c>
      <c r="E15">
        <v>10300</v>
      </c>
      <c r="F15" t="s">
        <v>13</v>
      </c>
      <c r="G15" t="s">
        <v>14</v>
      </c>
    </row>
    <row r="16" spans="1:7" x14ac:dyDescent="0.3">
      <c r="A16" s="1">
        <v>45352</v>
      </c>
      <c r="B16" t="s">
        <v>15</v>
      </c>
      <c r="C16" t="s">
        <v>16</v>
      </c>
      <c r="D16">
        <v>5000</v>
      </c>
      <c r="E16">
        <v>5750</v>
      </c>
      <c r="F16" t="s">
        <v>17</v>
      </c>
      <c r="G16" t="s">
        <v>14</v>
      </c>
    </row>
    <row r="17" spans="1:7" x14ac:dyDescent="0.3">
      <c r="A17" s="1">
        <v>45352</v>
      </c>
      <c r="B17" t="s">
        <v>18</v>
      </c>
      <c r="C17" t="s">
        <v>19</v>
      </c>
      <c r="D17">
        <v>2600</v>
      </c>
      <c r="E17">
        <v>2650</v>
      </c>
      <c r="F17" t="s">
        <v>20</v>
      </c>
      <c r="G17" t="s">
        <v>10</v>
      </c>
    </row>
    <row r="18" spans="1:7" x14ac:dyDescent="0.3">
      <c r="A18" s="1">
        <v>45352</v>
      </c>
      <c r="B18" t="s">
        <v>21</v>
      </c>
      <c r="C18" t="s">
        <v>22</v>
      </c>
      <c r="D18">
        <v>3200</v>
      </c>
      <c r="E18">
        <v>3350</v>
      </c>
      <c r="F18" t="s">
        <v>23</v>
      </c>
      <c r="G18" t="s">
        <v>10</v>
      </c>
    </row>
    <row r="19" spans="1:7" x14ac:dyDescent="0.3">
      <c r="A19" s="1">
        <v>45352</v>
      </c>
      <c r="B19" t="s">
        <v>24</v>
      </c>
      <c r="C19" t="s">
        <v>27</v>
      </c>
      <c r="D19">
        <v>4000</v>
      </c>
      <c r="E19">
        <v>4600</v>
      </c>
      <c r="F19" t="s">
        <v>28</v>
      </c>
      <c r="G19" t="s">
        <v>10</v>
      </c>
    </row>
    <row r="20" spans="1:7" x14ac:dyDescent="0.3">
      <c r="A20" s="1">
        <v>45383</v>
      </c>
      <c r="B20" t="s">
        <v>7</v>
      </c>
      <c r="C20" t="s">
        <v>8</v>
      </c>
      <c r="D20">
        <v>13000</v>
      </c>
      <c r="E20">
        <v>13200</v>
      </c>
      <c r="F20" t="s">
        <v>9</v>
      </c>
      <c r="G20" t="s">
        <v>10</v>
      </c>
    </row>
    <row r="21" spans="1:7" x14ac:dyDescent="0.3">
      <c r="A21" s="1">
        <v>45383</v>
      </c>
      <c r="B21" t="s">
        <v>11</v>
      </c>
      <c r="C21" t="s">
        <v>12</v>
      </c>
      <c r="D21">
        <v>9500</v>
      </c>
      <c r="E21">
        <v>9800</v>
      </c>
      <c r="F21" t="s">
        <v>13</v>
      </c>
      <c r="G21" t="s">
        <v>14</v>
      </c>
    </row>
    <row r="22" spans="1:7" x14ac:dyDescent="0.3">
      <c r="A22" s="1">
        <v>45383</v>
      </c>
      <c r="B22" t="s">
        <v>15</v>
      </c>
      <c r="C22" t="s">
        <v>16</v>
      </c>
      <c r="D22">
        <v>5200</v>
      </c>
      <c r="E22">
        <v>6100</v>
      </c>
      <c r="F22" t="s">
        <v>17</v>
      </c>
      <c r="G22" t="s">
        <v>14</v>
      </c>
    </row>
    <row r="23" spans="1:7" x14ac:dyDescent="0.3">
      <c r="A23" s="1">
        <v>45383</v>
      </c>
      <c r="B23" t="s">
        <v>18</v>
      </c>
      <c r="C23" t="s">
        <v>19</v>
      </c>
      <c r="D23">
        <v>2700</v>
      </c>
      <c r="E23">
        <v>2800</v>
      </c>
      <c r="F23" t="s">
        <v>20</v>
      </c>
      <c r="G23" t="s">
        <v>10</v>
      </c>
    </row>
    <row r="24" spans="1:7" x14ac:dyDescent="0.3">
      <c r="A24" s="1">
        <v>45383</v>
      </c>
      <c r="B24" t="s">
        <v>21</v>
      </c>
      <c r="C24" t="s">
        <v>22</v>
      </c>
      <c r="D24">
        <v>3300</v>
      </c>
      <c r="E24">
        <v>3450</v>
      </c>
      <c r="F24" t="s">
        <v>23</v>
      </c>
      <c r="G24" t="s">
        <v>10</v>
      </c>
    </row>
    <row r="25" spans="1:7" x14ac:dyDescent="0.3">
      <c r="A25" s="1">
        <v>45383</v>
      </c>
      <c r="B25" t="s">
        <v>24</v>
      </c>
      <c r="C25" t="s">
        <v>25</v>
      </c>
      <c r="D25">
        <v>6200</v>
      </c>
      <c r="E25">
        <v>6200</v>
      </c>
      <c r="F25" t="s">
        <v>26</v>
      </c>
      <c r="G25" t="s">
        <v>10</v>
      </c>
    </row>
    <row r="26" spans="1:7" x14ac:dyDescent="0.3">
      <c r="A26" s="1">
        <v>45413</v>
      </c>
      <c r="B26" t="s">
        <v>7</v>
      </c>
      <c r="C26" t="s">
        <v>8</v>
      </c>
      <c r="D26">
        <v>13500</v>
      </c>
      <c r="E26">
        <v>13750</v>
      </c>
      <c r="F26" t="s">
        <v>9</v>
      </c>
      <c r="G26" t="s">
        <v>10</v>
      </c>
    </row>
    <row r="27" spans="1:7" x14ac:dyDescent="0.3">
      <c r="A27" s="1">
        <v>45413</v>
      </c>
      <c r="B27" t="s">
        <v>11</v>
      </c>
      <c r="C27" t="s">
        <v>12</v>
      </c>
      <c r="D27">
        <v>10000</v>
      </c>
      <c r="E27">
        <v>11600</v>
      </c>
      <c r="F27" t="s">
        <v>13</v>
      </c>
      <c r="G27" t="s">
        <v>14</v>
      </c>
    </row>
    <row r="28" spans="1:7" x14ac:dyDescent="0.3">
      <c r="A28" s="1">
        <v>45413</v>
      </c>
      <c r="B28" t="s">
        <v>15</v>
      </c>
      <c r="C28" t="s">
        <v>16</v>
      </c>
      <c r="D28">
        <v>5500</v>
      </c>
      <c r="E28">
        <v>6500</v>
      </c>
      <c r="F28" t="s">
        <v>17</v>
      </c>
      <c r="G28" t="s">
        <v>14</v>
      </c>
    </row>
    <row r="29" spans="1:7" x14ac:dyDescent="0.3">
      <c r="A29" s="1">
        <v>45413</v>
      </c>
      <c r="B29" t="s">
        <v>18</v>
      </c>
      <c r="C29" t="s">
        <v>19</v>
      </c>
      <c r="D29">
        <v>2800</v>
      </c>
      <c r="E29">
        <v>2900</v>
      </c>
      <c r="F29" t="s">
        <v>20</v>
      </c>
      <c r="G29" t="s">
        <v>10</v>
      </c>
    </row>
    <row r="30" spans="1:7" x14ac:dyDescent="0.3">
      <c r="A30" s="1">
        <v>45413</v>
      </c>
      <c r="B30" t="s">
        <v>21</v>
      </c>
      <c r="C30" t="s">
        <v>22</v>
      </c>
      <c r="D30">
        <v>3500</v>
      </c>
      <c r="E30">
        <v>3650</v>
      </c>
      <c r="F30" t="s">
        <v>23</v>
      </c>
      <c r="G30" t="s">
        <v>10</v>
      </c>
    </row>
    <row r="31" spans="1:7" x14ac:dyDescent="0.3">
      <c r="A31" s="1">
        <v>45413</v>
      </c>
      <c r="B31" t="s">
        <v>24</v>
      </c>
      <c r="C31" t="s">
        <v>25</v>
      </c>
      <c r="D31">
        <v>6200</v>
      </c>
      <c r="E31">
        <v>6200</v>
      </c>
      <c r="F31" t="s">
        <v>26</v>
      </c>
      <c r="G31" t="s">
        <v>10</v>
      </c>
    </row>
    <row r="32" spans="1:7" x14ac:dyDescent="0.3">
      <c r="A32" s="1">
        <v>45444</v>
      </c>
      <c r="B32" t="s">
        <v>7</v>
      </c>
      <c r="C32" t="s">
        <v>8</v>
      </c>
      <c r="D32">
        <v>14000</v>
      </c>
      <c r="E32">
        <v>14200</v>
      </c>
      <c r="F32" t="s">
        <v>9</v>
      </c>
      <c r="G32" t="s">
        <v>10</v>
      </c>
    </row>
    <row r="33" spans="1:7" x14ac:dyDescent="0.3">
      <c r="A33" s="1">
        <v>45444</v>
      </c>
      <c r="B33" t="s">
        <v>11</v>
      </c>
      <c r="C33" t="s">
        <v>12</v>
      </c>
      <c r="D33">
        <v>10500</v>
      </c>
      <c r="E33">
        <v>10800</v>
      </c>
      <c r="F33" t="s">
        <v>13</v>
      </c>
      <c r="G33" t="s">
        <v>14</v>
      </c>
    </row>
    <row r="34" spans="1:7" x14ac:dyDescent="0.3">
      <c r="A34" s="1">
        <v>45444</v>
      </c>
      <c r="B34" t="s">
        <v>15</v>
      </c>
      <c r="C34" t="s">
        <v>16</v>
      </c>
      <c r="D34">
        <v>5800</v>
      </c>
      <c r="E34">
        <v>7000</v>
      </c>
      <c r="F34" t="s">
        <v>17</v>
      </c>
      <c r="G34" t="s">
        <v>14</v>
      </c>
    </row>
    <row r="35" spans="1:7" x14ac:dyDescent="0.3">
      <c r="A35" s="1">
        <v>45444</v>
      </c>
      <c r="B35" t="s">
        <v>18</v>
      </c>
      <c r="C35" t="s">
        <v>19</v>
      </c>
      <c r="D35">
        <v>3000</v>
      </c>
      <c r="E35">
        <v>3150</v>
      </c>
      <c r="F35" t="s">
        <v>20</v>
      </c>
      <c r="G35" t="s">
        <v>10</v>
      </c>
    </row>
    <row r="36" spans="1:7" x14ac:dyDescent="0.3">
      <c r="A36" s="1">
        <v>45444</v>
      </c>
      <c r="B36" t="s">
        <v>21</v>
      </c>
      <c r="C36" t="s">
        <v>22</v>
      </c>
      <c r="D36">
        <v>3600</v>
      </c>
      <c r="E36">
        <v>3800</v>
      </c>
      <c r="F36" t="s">
        <v>23</v>
      </c>
      <c r="G36" t="s">
        <v>10</v>
      </c>
    </row>
    <row r="37" spans="1:7" x14ac:dyDescent="0.3">
      <c r="A37" s="1">
        <v>45444</v>
      </c>
      <c r="B37" t="s">
        <v>24</v>
      </c>
      <c r="C37" t="s">
        <v>27</v>
      </c>
      <c r="D37">
        <v>4200</v>
      </c>
      <c r="E37">
        <v>4800</v>
      </c>
      <c r="F37" t="s">
        <v>28</v>
      </c>
      <c r="G37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A1BD1-1195-4C96-9E97-D1FAA5098292}">
  <dimension ref="A1:I7"/>
  <sheetViews>
    <sheetView workbookViewId="0">
      <selection sqref="A1:I7"/>
    </sheetView>
  </sheetViews>
  <sheetFormatPr defaultRowHeight="14.4" x14ac:dyDescent="0.3"/>
  <cols>
    <col min="2" max="2" width="27.88671875" customWidth="1"/>
    <col min="3" max="3" width="30.6640625" customWidth="1"/>
    <col min="4" max="4" width="24.88671875" customWidth="1"/>
    <col min="5" max="5" width="25.88671875" customWidth="1"/>
    <col min="6" max="6" width="21.33203125" customWidth="1"/>
    <col min="7" max="7" width="14.44140625" customWidth="1"/>
    <col min="8" max="8" width="26.21875" customWidth="1"/>
    <col min="9" max="9" width="15.33203125" customWidth="1"/>
  </cols>
  <sheetData>
    <row r="1" spans="1:9" x14ac:dyDescent="0.3">
      <c r="A1" t="s">
        <v>0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</row>
    <row r="2" spans="1:9" x14ac:dyDescent="0.3">
      <c r="A2" s="1">
        <v>45292</v>
      </c>
      <c r="B2">
        <v>1100</v>
      </c>
      <c r="C2">
        <v>1700</v>
      </c>
      <c r="D2">
        <v>200</v>
      </c>
      <c r="E2">
        <v>1200</v>
      </c>
      <c r="F2">
        <v>4200</v>
      </c>
      <c r="G2">
        <v>1300</v>
      </c>
      <c r="H2">
        <v>36000</v>
      </c>
      <c r="I2">
        <v>-33100</v>
      </c>
    </row>
    <row r="3" spans="1:9" x14ac:dyDescent="0.3">
      <c r="A3" s="1">
        <v>45323</v>
      </c>
      <c r="B3">
        <v>1100</v>
      </c>
      <c r="C3">
        <v>1800</v>
      </c>
      <c r="D3">
        <v>200</v>
      </c>
      <c r="E3">
        <v>0</v>
      </c>
      <c r="F3">
        <v>3100</v>
      </c>
      <c r="G3">
        <v>1350</v>
      </c>
      <c r="H3">
        <v>36700</v>
      </c>
      <c r="I3">
        <v>-34950</v>
      </c>
    </row>
    <row r="4" spans="1:9" x14ac:dyDescent="0.3">
      <c r="A4" s="1">
        <v>45352</v>
      </c>
      <c r="B4">
        <v>1400</v>
      </c>
      <c r="C4">
        <v>2100</v>
      </c>
      <c r="D4">
        <v>250</v>
      </c>
      <c r="E4">
        <v>500</v>
      </c>
      <c r="F4">
        <v>4250</v>
      </c>
      <c r="G4">
        <v>1500</v>
      </c>
      <c r="H4">
        <v>38300</v>
      </c>
      <c r="I4">
        <v>-35550</v>
      </c>
    </row>
    <row r="5" spans="1:9" x14ac:dyDescent="0.3">
      <c r="A5" s="1">
        <v>45383</v>
      </c>
      <c r="B5">
        <v>1900</v>
      </c>
      <c r="C5">
        <v>2400</v>
      </c>
      <c r="D5">
        <v>400</v>
      </c>
      <c r="E5">
        <v>700</v>
      </c>
      <c r="F5">
        <v>5400</v>
      </c>
      <c r="G5">
        <v>1750</v>
      </c>
      <c r="H5">
        <v>40200</v>
      </c>
      <c r="I5">
        <v>-36550</v>
      </c>
    </row>
    <row r="6" spans="1:9" x14ac:dyDescent="0.3">
      <c r="A6" s="1">
        <v>45413</v>
      </c>
      <c r="B6">
        <v>2200</v>
      </c>
      <c r="C6">
        <v>2800</v>
      </c>
      <c r="D6">
        <v>450</v>
      </c>
      <c r="E6">
        <v>500</v>
      </c>
      <c r="F6">
        <v>5950</v>
      </c>
      <c r="G6">
        <v>1950</v>
      </c>
      <c r="H6">
        <v>41500</v>
      </c>
      <c r="I6">
        <v>-37500</v>
      </c>
    </row>
    <row r="7" spans="1:9" x14ac:dyDescent="0.3">
      <c r="A7" s="1">
        <v>45444</v>
      </c>
      <c r="B7">
        <v>2500</v>
      </c>
      <c r="C7">
        <v>3200</v>
      </c>
      <c r="D7">
        <v>600</v>
      </c>
      <c r="E7">
        <v>700</v>
      </c>
      <c r="F7">
        <v>7000</v>
      </c>
      <c r="G7">
        <v>2200</v>
      </c>
      <c r="H7">
        <v>42100</v>
      </c>
      <c r="I7">
        <v>-37300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84B-4957-46D2-AB46-DFD93C4BD5A6}">
  <dimension ref="A1:I7"/>
  <sheetViews>
    <sheetView workbookViewId="0">
      <selection sqref="A1:I7"/>
    </sheetView>
  </sheetViews>
  <sheetFormatPr defaultRowHeight="14.4" x14ac:dyDescent="0.3"/>
  <cols>
    <col min="2" max="2" width="17.88671875" customWidth="1"/>
    <col min="3" max="3" width="16.33203125" customWidth="1"/>
    <col min="4" max="4" width="16.109375" customWidth="1"/>
    <col min="5" max="5" width="12.33203125" customWidth="1"/>
    <col min="6" max="6" width="29.6640625" customWidth="1"/>
    <col min="8" max="8" width="14" customWidth="1"/>
    <col min="9" max="9" width="22.44140625" customWidth="1"/>
  </cols>
  <sheetData>
    <row r="1" spans="1:9" x14ac:dyDescent="0.3">
      <c r="A1" t="s">
        <v>0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</row>
    <row r="2" spans="1:9" x14ac:dyDescent="0.3">
      <c r="A2" s="1">
        <v>45292</v>
      </c>
      <c r="B2">
        <v>2</v>
      </c>
      <c r="C2">
        <v>2</v>
      </c>
      <c r="D2">
        <v>0</v>
      </c>
      <c r="E2">
        <v>0</v>
      </c>
      <c r="F2">
        <v>2093.5</v>
      </c>
      <c r="G2">
        <v>4600</v>
      </c>
      <c r="H2">
        <v>0.69</v>
      </c>
      <c r="I2">
        <v>1</v>
      </c>
    </row>
    <row r="3" spans="1:9" x14ac:dyDescent="0.3">
      <c r="A3" s="1">
        <v>45323</v>
      </c>
      <c r="B3">
        <v>2</v>
      </c>
      <c r="C3">
        <v>0</v>
      </c>
      <c r="D3">
        <v>0</v>
      </c>
      <c r="E3">
        <v>0</v>
      </c>
      <c r="F3">
        <v>1526</v>
      </c>
      <c r="G3">
        <v>0</v>
      </c>
      <c r="H3">
        <v>0.68</v>
      </c>
      <c r="I3">
        <v>1.02</v>
      </c>
    </row>
    <row r="4" spans="1:9" x14ac:dyDescent="0.3">
      <c r="A4" s="1">
        <v>45352</v>
      </c>
      <c r="B4">
        <v>3</v>
      </c>
      <c r="C4">
        <v>1</v>
      </c>
      <c r="D4">
        <v>0</v>
      </c>
      <c r="E4">
        <v>0</v>
      </c>
      <c r="F4">
        <v>1452.67</v>
      </c>
      <c r="G4">
        <v>10300</v>
      </c>
      <c r="H4">
        <v>0.66</v>
      </c>
      <c r="I4">
        <v>1.03</v>
      </c>
    </row>
    <row r="5" spans="1:9" x14ac:dyDescent="0.3">
      <c r="A5" s="1">
        <v>45383</v>
      </c>
      <c r="B5">
        <v>4</v>
      </c>
      <c r="C5">
        <v>1</v>
      </c>
      <c r="D5">
        <v>0</v>
      </c>
      <c r="E5">
        <v>0</v>
      </c>
      <c r="F5">
        <v>1645.75</v>
      </c>
      <c r="G5">
        <v>9800</v>
      </c>
      <c r="H5">
        <v>0.65</v>
      </c>
      <c r="I5">
        <v>1.04</v>
      </c>
    </row>
    <row r="6" spans="1:9" x14ac:dyDescent="0.3">
      <c r="A6" s="1">
        <v>45413</v>
      </c>
      <c r="B6">
        <v>5</v>
      </c>
      <c r="C6">
        <v>1</v>
      </c>
      <c r="D6">
        <v>0</v>
      </c>
      <c r="E6">
        <v>0</v>
      </c>
      <c r="F6">
        <v>1456</v>
      </c>
      <c r="G6">
        <v>11600</v>
      </c>
      <c r="H6">
        <v>0.64</v>
      </c>
      <c r="I6">
        <v>1.02</v>
      </c>
    </row>
    <row r="7" spans="1:9" x14ac:dyDescent="0.3">
      <c r="A7" s="1">
        <v>45444</v>
      </c>
      <c r="B7">
        <v>5</v>
      </c>
      <c r="C7">
        <v>1</v>
      </c>
      <c r="D7">
        <v>1</v>
      </c>
      <c r="E7">
        <v>0.2</v>
      </c>
      <c r="F7">
        <v>1786.2</v>
      </c>
      <c r="G7">
        <v>10800</v>
      </c>
      <c r="H7">
        <v>0.63</v>
      </c>
      <c r="I7">
        <v>0.98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081AA-4C6C-4D97-A706-02470AE1AD77}">
  <dimension ref="A1:H4"/>
  <sheetViews>
    <sheetView workbookViewId="0">
      <selection activeCell="E14" sqref="E14"/>
    </sheetView>
  </sheetViews>
  <sheetFormatPr defaultRowHeight="14.4" x14ac:dyDescent="0.3"/>
  <cols>
    <col min="1" max="1" width="10.21875" customWidth="1"/>
    <col min="2" max="2" width="22.33203125" customWidth="1"/>
    <col min="3" max="3" width="12.33203125" customWidth="1"/>
    <col min="4" max="4" width="26.44140625" customWidth="1"/>
    <col min="5" max="5" width="16.5546875" customWidth="1"/>
    <col min="6" max="6" width="13.33203125" customWidth="1"/>
    <col min="7" max="7" width="16.33203125" customWidth="1"/>
    <col min="8" max="8" width="24.109375" customWidth="1"/>
  </cols>
  <sheetData>
    <row r="1" spans="1:8" x14ac:dyDescent="0.3">
      <c r="A1" t="s">
        <v>59</v>
      </c>
      <c r="B1" t="s">
        <v>60</v>
      </c>
      <c r="C1" t="s">
        <v>48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</row>
    <row r="2" spans="1:8" x14ac:dyDescent="0.3">
      <c r="A2" t="s">
        <v>66</v>
      </c>
      <c r="B2">
        <v>0.08</v>
      </c>
      <c r="C2">
        <v>0.04</v>
      </c>
      <c r="D2">
        <v>0.1</v>
      </c>
      <c r="E2">
        <v>0.03</v>
      </c>
      <c r="F2">
        <v>0.05</v>
      </c>
      <c r="G2">
        <v>0.04</v>
      </c>
      <c r="H2">
        <v>7.0000000000000007E-2</v>
      </c>
    </row>
    <row r="3" spans="1:8" x14ac:dyDescent="0.3">
      <c r="A3" t="s">
        <v>67</v>
      </c>
      <c r="B3">
        <v>0.12</v>
      </c>
      <c r="C3">
        <v>0.02</v>
      </c>
      <c r="D3">
        <v>0.15</v>
      </c>
      <c r="E3">
        <v>0.05</v>
      </c>
      <c r="F3">
        <v>0</v>
      </c>
      <c r="G3">
        <v>0.03</v>
      </c>
      <c r="H3">
        <v>0.1</v>
      </c>
    </row>
    <row r="4" spans="1:8" x14ac:dyDescent="0.3">
      <c r="A4" t="s">
        <v>68</v>
      </c>
      <c r="B4">
        <v>0.04</v>
      </c>
      <c r="C4">
        <v>0.08</v>
      </c>
      <c r="D4">
        <v>0.05</v>
      </c>
      <c r="E4">
        <v>0</v>
      </c>
      <c r="F4">
        <v>0.12</v>
      </c>
      <c r="G4">
        <v>0.06</v>
      </c>
      <c r="H4">
        <v>0.03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54281-D788-4ABF-AD86-1A88D3415539}">
  <dimension ref="A1:L7"/>
  <sheetViews>
    <sheetView workbookViewId="0">
      <selection sqref="A1:L7"/>
    </sheetView>
  </sheetViews>
  <sheetFormatPr defaultRowHeight="14.4" x14ac:dyDescent="0.3"/>
  <cols>
    <col min="1" max="1" width="8.33203125" bestFit="1" customWidth="1"/>
    <col min="2" max="2" width="13.88671875" bestFit="1" customWidth="1"/>
    <col min="3" max="3" width="14.5546875" bestFit="1" customWidth="1"/>
    <col min="4" max="4" width="11.77734375" bestFit="1" customWidth="1"/>
    <col min="5" max="5" width="10.88671875" bestFit="1" customWidth="1"/>
    <col min="6" max="6" width="12" bestFit="1" customWidth="1"/>
    <col min="7" max="7" width="9.6640625" bestFit="1" customWidth="1"/>
    <col min="8" max="8" width="13.109375" bestFit="1" customWidth="1"/>
    <col min="9" max="9" width="15.5546875" bestFit="1" customWidth="1"/>
    <col min="10" max="10" width="10.33203125" bestFit="1" customWidth="1"/>
    <col min="11" max="11" width="6" bestFit="1" customWidth="1"/>
    <col min="12" max="12" width="20.21875" bestFit="1" customWidth="1"/>
  </cols>
  <sheetData>
    <row r="1" spans="1:12" ht="15" thickBot="1" x14ac:dyDescent="0.35">
      <c r="A1" s="8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51</v>
      </c>
      <c r="G1" s="9" t="s">
        <v>74</v>
      </c>
      <c r="H1" s="9" t="s">
        <v>73</v>
      </c>
      <c r="I1" s="9" t="s">
        <v>45</v>
      </c>
      <c r="J1" s="9" t="s">
        <v>48</v>
      </c>
      <c r="K1" s="9" t="s">
        <v>50</v>
      </c>
      <c r="L1" s="10" t="s">
        <v>52</v>
      </c>
    </row>
    <row r="2" spans="1:12" x14ac:dyDescent="0.3">
      <c r="A2" s="11">
        <v>45292</v>
      </c>
      <c r="B2" s="12">
        <f>SUMIFS(tblRevenue[Total_Revenue],tblRevenue[Month],A2)</f>
        <v>4187</v>
      </c>
      <c r="C2" s="12">
        <f>SUMIFS(tblExpenses[Actual_Expense],tblExpenses[Month],A2)</f>
        <v>37850</v>
      </c>
      <c r="D2" s="12">
        <f>B2*35%</f>
        <v>1465.4499999999998</v>
      </c>
      <c r="E2" s="12">
        <f>B2-D2</f>
        <v>2721.55</v>
      </c>
      <c r="F2" s="12">
        <f>E2/B2</f>
        <v>0.65</v>
      </c>
      <c r="G2" s="12">
        <f>E2-C2</f>
        <v>-35128.449999999997</v>
      </c>
      <c r="H2" s="12">
        <f>G2/B2</f>
        <v>-8.3898853594459037</v>
      </c>
      <c r="I2" s="12">
        <f>_xlfn.XLOOKUP(A2,tblKPI[Month],tblKPI[Active_Customers])</f>
        <v>2</v>
      </c>
      <c r="J2" s="12">
        <f>_xlfn.XLOOKUP(A2,tblKPI[Month],tblKPI[Churn_Rate])</f>
        <v>0</v>
      </c>
      <c r="K2" s="12">
        <f>_xlfn.XLOOKUP(A2,tblKPI[Month],tblKPI[CAC])</f>
        <v>4600</v>
      </c>
      <c r="L2" s="5">
        <f>_xlfn.XLOOKUP(A2,tblKPI[Month],tblKPI[Net_Revenue_Retention])</f>
        <v>1</v>
      </c>
    </row>
    <row r="3" spans="1:12" x14ac:dyDescent="0.3">
      <c r="A3" s="11">
        <v>45323</v>
      </c>
      <c r="B3" s="12">
        <f>SUMIFS(tblRevenue[Total_Revenue],tblRevenue[Month],A3)</f>
        <v>3052</v>
      </c>
      <c r="C3" s="12">
        <f>SUMIFS(tblExpenses[Actual_Expense],tblExpenses[Month],A3)</f>
        <v>38000</v>
      </c>
      <c r="D3" s="12">
        <f t="shared" ref="D3:D7" si="0">B3*35%</f>
        <v>1068.2</v>
      </c>
      <c r="E3" s="12">
        <f t="shared" ref="E3:E7" si="1">B3-D3</f>
        <v>1983.8</v>
      </c>
      <c r="F3" s="12">
        <f t="shared" ref="F3:F7" si="2">E3/B3</f>
        <v>0.65</v>
      </c>
      <c r="G3" s="12">
        <f t="shared" ref="G3:G7" si="3">E3-C3</f>
        <v>-36016.199999999997</v>
      </c>
      <c r="H3" s="12">
        <f t="shared" ref="H3:H7" si="4">G3/B3</f>
        <v>-11.800851900393184</v>
      </c>
      <c r="I3" s="12">
        <f>_xlfn.XLOOKUP(A3,tblKPI[Month],tblKPI[Active_Customers])</f>
        <v>2</v>
      </c>
      <c r="J3" s="12">
        <f>_xlfn.XLOOKUP(A3,tblKPI[Month],tblKPI[Churn_Rate])</f>
        <v>0</v>
      </c>
      <c r="K3" s="12">
        <f>_xlfn.XLOOKUP(A3,tblKPI[Month],tblKPI[CAC])</f>
        <v>0</v>
      </c>
      <c r="L3" s="5">
        <f>_xlfn.XLOOKUP(A3,tblKPI[Month],tblKPI[Net_Revenue_Retention])</f>
        <v>1.02</v>
      </c>
    </row>
    <row r="4" spans="1:12" x14ac:dyDescent="0.3">
      <c r="A4" s="11">
        <v>45352</v>
      </c>
      <c r="B4" s="12">
        <f>SUMIFS(tblRevenue[Total_Revenue],tblRevenue[Month],A4)</f>
        <v>4358</v>
      </c>
      <c r="C4" s="12">
        <f>SUMIFS(tblExpenses[Actual_Expense],tblExpenses[Month],A4)</f>
        <v>39250</v>
      </c>
      <c r="D4" s="12">
        <f t="shared" si="0"/>
        <v>1525.3</v>
      </c>
      <c r="E4" s="12">
        <f t="shared" si="1"/>
        <v>2832.7</v>
      </c>
      <c r="F4" s="12">
        <f t="shared" si="2"/>
        <v>0.64999999999999991</v>
      </c>
      <c r="G4" s="12">
        <f t="shared" si="3"/>
        <v>-36417.300000000003</v>
      </c>
      <c r="H4" s="12">
        <f t="shared" si="4"/>
        <v>-8.3564249655805423</v>
      </c>
      <c r="I4" s="12">
        <f>_xlfn.XLOOKUP(A4,tblKPI[Month],tblKPI[Active_Customers])</f>
        <v>3</v>
      </c>
      <c r="J4" s="12">
        <f>_xlfn.XLOOKUP(A4,tblKPI[Month],tblKPI[Churn_Rate])</f>
        <v>0</v>
      </c>
      <c r="K4" s="12">
        <f>_xlfn.XLOOKUP(A4,tblKPI[Month],tblKPI[CAC])</f>
        <v>10300</v>
      </c>
      <c r="L4" s="5">
        <f>_xlfn.XLOOKUP(A4,tblKPI[Month],tblKPI[Net_Revenue_Retention])</f>
        <v>1.03</v>
      </c>
    </row>
    <row r="5" spans="1:12" x14ac:dyDescent="0.3">
      <c r="A5" s="11">
        <v>45383</v>
      </c>
      <c r="B5" s="12">
        <f>SUMIFS(tblRevenue[Total_Revenue],tblRevenue[Month],A5)</f>
        <v>6583</v>
      </c>
      <c r="C5" s="12">
        <f>SUMIFS(tblExpenses[Actual_Expense],tblExpenses[Month],A5)</f>
        <v>41550</v>
      </c>
      <c r="D5" s="12">
        <f t="shared" si="0"/>
        <v>2304.0499999999997</v>
      </c>
      <c r="E5" s="12">
        <f t="shared" si="1"/>
        <v>4278.9500000000007</v>
      </c>
      <c r="F5" s="12">
        <f t="shared" si="2"/>
        <v>0.65000000000000013</v>
      </c>
      <c r="G5" s="12">
        <f t="shared" si="3"/>
        <v>-37271.050000000003</v>
      </c>
      <c r="H5" s="12">
        <f t="shared" si="4"/>
        <v>-5.6617119854169839</v>
      </c>
      <c r="I5" s="12">
        <f>_xlfn.XLOOKUP(A5,tblKPI[Month],tblKPI[Active_Customers])</f>
        <v>4</v>
      </c>
      <c r="J5" s="12">
        <f>_xlfn.XLOOKUP(A5,tblKPI[Month],tblKPI[Churn_Rate])</f>
        <v>0</v>
      </c>
      <c r="K5" s="12">
        <f>_xlfn.XLOOKUP(A5,tblKPI[Month],tblKPI[CAC])</f>
        <v>9800</v>
      </c>
      <c r="L5" s="5">
        <f>_xlfn.XLOOKUP(A5,tblKPI[Month],tblKPI[Net_Revenue_Retention])</f>
        <v>1.04</v>
      </c>
    </row>
    <row r="6" spans="1:12" x14ac:dyDescent="0.3">
      <c r="A6" s="11">
        <v>45413</v>
      </c>
      <c r="B6" s="12">
        <f>SUMIFS(tblRevenue[Total_Revenue],tblRevenue[Month],A6)</f>
        <v>7280</v>
      </c>
      <c r="C6" s="12">
        <f>SUMIFS(tblExpenses[Actual_Expense],tblExpenses[Month],A6)</f>
        <v>44600</v>
      </c>
      <c r="D6" s="12">
        <f t="shared" si="0"/>
        <v>2548</v>
      </c>
      <c r="E6" s="12">
        <f t="shared" si="1"/>
        <v>4732</v>
      </c>
      <c r="F6" s="12">
        <f t="shared" si="2"/>
        <v>0.65</v>
      </c>
      <c r="G6" s="12">
        <f t="shared" si="3"/>
        <v>-39868</v>
      </c>
      <c r="H6" s="12">
        <f t="shared" si="4"/>
        <v>-5.4763736263736265</v>
      </c>
      <c r="I6" s="12">
        <f>_xlfn.XLOOKUP(A6,tblKPI[Month],tblKPI[Active_Customers])</f>
        <v>5</v>
      </c>
      <c r="J6" s="12">
        <f>_xlfn.XLOOKUP(A6,tblKPI[Month],tblKPI[Churn_Rate])</f>
        <v>0</v>
      </c>
      <c r="K6" s="12">
        <f>_xlfn.XLOOKUP(A6,tblKPI[Month],tblKPI[CAC])</f>
        <v>11600</v>
      </c>
      <c r="L6" s="5">
        <f>_xlfn.XLOOKUP(A6,tblKPI[Month],tblKPI[Net_Revenue_Retention])</f>
        <v>1.02</v>
      </c>
    </row>
    <row r="7" spans="1:12" ht="15" thickBot="1" x14ac:dyDescent="0.35">
      <c r="A7" s="13">
        <v>45444</v>
      </c>
      <c r="B7" s="14">
        <f>SUMIFS(tblRevenue[Total_Revenue],tblRevenue[Month],A7)</f>
        <v>9531</v>
      </c>
      <c r="C7" s="14">
        <f>SUMIFS(tblExpenses[Actual_Expense],tblExpenses[Month],A7)</f>
        <v>43750</v>
      </c>
      <c r="D7" s="14">
        <f t="shared" si="0"/>
        <v>3335.85</v>
      </c>
      <c r="E7" s="14">
        <f t="shared" si="1"/>
        <v>6195.15</v>
      </c>
      <c r="F7" s="14">
        <f t="shared" si="2"/>
        <v>0.64999999999999991</v>
      </c>
      <c r="G7" s="14">
        <f t="shared" si="3"/>
        <v>-37554.85</v>
      </c>
      <c r="H7" s="14">
        <f t="shared" si="4"/>
        <v>-3.9402843353268282</v>
      </c>
      <c r="I7" s="14">
        <f>_xlfn.XLOOKUP(A7,tblKPI[Month],tblKPI[Active_Customers])</f>
        <v>5</v>
      </c>
      <c r="J7" s="14">
        <f>_xlfn.XLOOKUP(A7,tblKPI[Month],tblKPI[Churn_Rate])</f>
        <v>0.2</v>
      </c>
      <c r="K7" s="14">
        <f>_xlfn.XLOOKUP(A7,tblKPI[Month],tblKPI[CAC])</f>
        <v>10800</v>
      </c>
      <c r="L7" s="6">
        <f>_xlfn.XLOOKUP(A7,tblKPI[Month],tblKPI[Net_Revenue_Retention])</f>
        <v>0.98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ED8A7-58BA-44C4-A0F5-27F2FE90BD37}">
  <dimension ref="A1:M7"/>
  <sheetViews>
    <sheetView workbookViewId="0">
      <selection sqref="A1:M1"/>
    </sheetView>
  </sheetViews>
  <sheetFormatPr defaultRowHeight="14.4" x14ac:dyDescent="0.3"/>
  <cols>
    <col min="1" max="1" width="8.33203125" bestFit="1" customWidth="1"/>
    <col min="2" max="2" width="13.88671875" bestFit="1" customWidth="1"/>
    <col min="3" max="3" width="14.33203125" bestFit="1" customWidth="1"/>
    <col min="4" max="4" width="16" bestFit="1" customWidth="1"/>
    <col min="5" max="5" width="18.44140625" bestFit="1" customWidth="1"/>
    <col min="6" max="6" width="14.5546875" bestFit="1" customWidth="1"/>
    <col min="7" max="7" width="15" bestFit="1" customWidth="1"/>
    <col min="8" max="8" width="15.77734375" bestFit="1" customWidth="1"/>
    <col min="9" max="9" width="18.21875" bestFit="1" customWidth="1"/>
    <col min="10" max="10" width="12.6640625" bestFit="1" customWidth="1"/>
    <col min="11" max="11" width="13.21875" bestFit="1" customWidth="1"/>
    <col min="12" max="12" width="14.88671875" bestFit="1" customWidth="1"/>
    <col min="13" max="13" width="17.33203125" bestFit="1" customWidth="1"/>
  </cols>
  <sheetData>
    <row r="1" spans="1:13" ht="15" thickBot="1" x14ac:dyDescent="0.35">
      <c r="A1" s="8" t="s">
        <v>0</v>
      </c>
      <c r="B1" s="9" t="s">
        <v>69</v>
      </c>
      <c r="C1" s="9" t="s">
        <v>75</v>
      </c>
      <c r="D1" s="9" t="s">
        <v>76</v>
      </c>
      <c r="E1" s="9" t="s">
        <v>77</v>
      </c>
      <c r="F1" s="9" t="s">
        <v>70</v>
      </c>
      <c r="G1" s="9" t="s">
        <v>78</v>
      </c>
      <c r="H1" s="9" t="s">
        <v>79</v>
      </c>
      <c r="I1" s="9" t="s">
        <v>80</v>
      </c>
      <c r="J1" s="9" t="s">
        <v>81</v>
      </c>
      <c r="K1" s="9" t="s">
        <v>44</v>
      </c>
      <c r="L1" s="9" t="s">
        <v>83</v>
      </c>
      <c r="M1" s="10" t="s">
        <v>82</v>
      </c>
    </row>
    <row r="2" spans="1:13" x14ac:dyDescent="0.3">
      <c r="A2" s="11">
        <v>45292</v>
      </c>
      <c r="B2" s="12">
        <f>_xlfn.XLOOKUP(A2,Monthly_Summary!A:A,Monthly_Summary!B:B)</f>
        <v>4187</v>
      </c>
      <c r="C2" s="12">
        <f>_xlfn.XLOOKUP(A2,tblBudget[Month],tblBudget[Budget_Total_Revenue])</f>
        <v>4200</v>
      </c>
      <c r="D2" s="12">
        <f>B2-C2</f>
        <v>-13</v>
      </c>
      <c r="E2" s="12">
        <f>D2/C2</f>
        <v>-3.0952380952380953E-3</v>
      </c>
      <c r="F2" s="12">
        <f>_xlfn.XLOOKUP(A2,Monthly_Summary!A:A,Monthly_Summary!C:C)</f>
        <v>37850</v>
      </c>
      <c r="G2" s="12">
        <f>_xlfn.XLOOKUP(A2,tblBudget[Month],tblBudget[Budget_Operating_Expenses])</f>
        <v>36000</v>
      </c>
      <c r="H2" s="12">
        <f>F2-G2</f>
        <v>1850</v>
      </c>
      <c r="I2" s="12">
        <f>H2/G2</f>
        <v>5.1388888888888887E-2</v>
      </c>
      <c r="J2" s="12">
        <f>_xlfn.XLOOKUP(A2,Monthly_Summary!A:A,Monthly_Summary!G:G)</f>
        <v>-35128.449999999997</v>
      </c>
      <c r="K2" s="12">
        <f>_xlfn.XLOOKUP(A2,tblBudget[Month],tblBudget[Budget_EBITDA])</f>
        <v>-33100</v>
      </c>
      <c r="L2" s="12">
        <f>J2-K2</f>
        <v>-2028.4499999999971</v>
      </c>
      <c r="M2" s="5">
        <f>L2/ABS(K2)</f>
        <v>-6.1282477341389641E-2</v>
      </c>
    </row>
    <row r="3" spans="1:13" x14ac:dyDescent="0.3">
      <c r="A3" s="11">
        <v>45323</v>
      </c>
      <c r="B3" s="12">
        <f>_xlfn.XLOOKUP(A3,Monthly_Summary!A:A,Monthly_Summary!B:B)</f>
        <v>3052</v>
      </c>
      <c r="C3" s="12">
        <f>_xlfn.XLOOKUP(A3,tblBudget[Month],tblBudget[Budget_Total_Revenue])</f>
        <v>3100</v>
      </c>
      <c r="D3" s="12">
        <f t="shared" ref="D3:D7" si="0">B3-C3</f>
        <v>-48</v>
      </c>
      <c r="E3" s="12">
        <f t="shared" ref="E3:E7" si="1">D3/C3</f>
        <v>-1.5483870967741935E-2</v>
      </c>
      <c r="F3" s="12">
        <f>_xlfn.XLOOKUP(A3,Monthly_Summary!A:A,Monthly_Summary!C:C)</f>
        <v>38000</v>
      </c>
      <c r="G3" s="12">
        <f>_xlfn.XLOOKUP(A3,tblBudget[Month],tblBudget[Budget_Operating_Expenses])</f>
        <v>36700</v>
      </c>
      <c r="H3" s="12">
        <f t="shared" ref="H3:H7" si="2">F3-G3</f>
        <v>1300</v>
      </c>
      <c r="I3" s="12">
        <f t="shared" ref="I3:I7" si="3">H3/G3</f>
        <v>3.5422343324250684E-2</v>
      </c>
      <c r="J3" s="12">
        <f>_xlfn.XLOOKUP(A3,Monthly_Summary!A:A,Monthly_Summary!G:G)</f>
        <v>-36016.199999999997</v>
      </c>
      <c r="K3" s="12">
        <f>_xlfn.XLOOKUP(A3,tblBudget[Month],tblBudget[Budget_EBITDA])</f>
        <v>-34950</v>
      </c>
      <c r="L3" s="12">
        <f t="shared" ref="L3:L7" si="4">J3-K3</f>
        <v>-1066.1999999999971</v>
      </c>
      <c r="M3" s="5">
        <f t="shared" ref="M3:M7" si="5">L3/ABS(K3)</f>
        <v>-3.050643776824026E-2</v>
      </c>
    </row>
    <row r="4" spans="1:13" x14ac:dyDescent="0.3">
      <c r="A4" s="11">
        <v>45352</v>
      </c>
      <c r="B4" s="12">
        <f>_xlfn.XLOOKUP(A4,Monthly_Summary!A:A,Monthly_Summary!B:B)</f>
        <v>4358</v>
      </c>
      <c r="C4" s="12">
        <f>_xlfn.XLOOKUP(A4,tblBudget[Month],tblBudget[Budget_Total_Revenue])</f>
        <v>4250</v>
      </c>
      <c r="D4" s="12">
        <f t="shared" si="0"/>
        <v>108</v>
      </c>
      <c r="E4" s="12">
        <f t="shared" si="1"/>
        <v>2.5411764705882352E-2</v>
      </c>
      <c r="F4" s="12">
        <f>_xlfn.XLOOKUP(A4,Monthly_Summary!A:A,Monthly_Summary!C:C)</f>
        <v>39250</v>
      </c>
      <c r="G4" s="12">
        <f>_xlfn.XLOOKUP(A4,tblBudget[Month],tblBudget[Budget_Operating_Expenses])</f>
        <v>38300</v>
      </c>
      <c r="H4" s="12">
        <f t="shared" si="2"/>
        <v>950</v>
      </c>
      <c r="I4" s="12">
        <f t="shared" si="3"/>
        <v>2.4804177545691905E-2</v>
      </c>
      <c r="J4" s="12">
        <f>_xlfn.XLOOKUP(A4,Monthly_Summary!A:A,Monthly_Summary!G:G)</f>
        <v>-36417.300000000003</v>
      </c>
      <c r="K4" s="12">
        <f>_xlfn.XLOOKUP(A4,tblBudget[Month],tblBudget[Budget_EBITDA])</f>
        <v>-35550</v>
      </c>
      <c r="L4" s="12">
        <f t="shared" si="4"/>
        <v>-867.30000000000291</v>
      </c>
      <c r="M4" s="5">
        <f t="shared" si="5"/>
        <v>-2.4396624472573923E-2</v>
      </c>
    </row>
    <row r="5" spans="1:13" x14ac:dyDescent="0.3">
      <c r="A5" s="11">
        <v>45383</v>
      </c>
      <c r="B5" s="12">
        <f>_xlfn.XLOOKUP(A5,Monthly_Summary!A:A,Monthly_Summary!B:B)</f>
        <v>6583</v>
      </c>
      <c r="C5" s="12">
        <f>_xlfn.XLOOKUP(A5,tblBudget[Month],tblBudget[Budget_Total_Revenue])</f>
        <v>5400</v>
      </c>
      <c r="D5" s="12">
        <f t="shared" si="0"/>
        <v>1183</v>
      </c>
      <c r="E5" s="12">
        <f t="shared" si="1"/>
        <v>0.21907407407407409</v>
      </c>
      <c r="F5" s="12">
        <f>_xlfn.XLOOKUP(A5,Monthly_Summary!A:A,Monthly_Summary!C:C)</f>
        <v>41550</v>
      </c>
      <c r="G5" s="12">
        <f>_xlfn.XLOOKUP(A5,tblBudget[Month],tblBudget[Budget_Operating_Expenses])</f>
        <v>40200</v>
      </c>
      <c r="H5" s="12">
        <f t="shared" si="2"/>
        <v>1350</v>
      </c>
      <c r="I5" s="12">
        <f t="shared" si="3"/>
        <v>3.3582089552238806E-2</v>
      </c>
      <c r="J5" s="12">
        <f>_xlfn.XLOOKUP(A5,Monthly_Summary!A:A,Monthly_Summary!G:G)</f>
        <v>-37271.050000000003</v>
      </c>
      <c r="K5" s="12">
        <f>_xlfn.XLOOKUP(A5,tblBudget[Month],tblBudget[Budget_EBITDA])</f>
        <v>-36550</v>
      </c>
      <c r="L5" s="12">
        <f t="shared" si="4"/>
        <v>-721.05000000000291</v>
      </c>
      <c r="M5" s="5">
        <f t="shared" si="5"/>
        <v>-1.9727770177838656E-2</v>
      </c>
    </row>
    <row r="6" spans="1:13" x14ac:dyDescent="0.3">
      <c r="A6" s="11">
        <v>45413</v>
      </c>
      <c r="B6" s="12">
        <f>_xlfn.XLOOKUP(A6,Monthly_Summary!A:A,Monthly_Summary!B:B)</f>
        <v>7280</v>
      </c>
      <c r="C6" s="12">
        <f>_xlfn.XLOOKUP(A6,tblBudget[Month],tblBudget[Budget_Total_Revenue])</f>
        <v>5950</v>
      </c>
      <c r="D6" s="12">
        <f t="shared" si="0"/>
        <v>1330</v>
      </c>
      <c r="E6" s="12">
        <f t="shared" si="1"/>
        <v>0.22352941176470589</v>
      </c>
      <c r="F6" s="12">
        <f>_xlfn.XLOOKUP(A6,Monthly_Summary!A:A,Monthly_Summary!C:C)</f>
        <v>44600</v>
      </c>
      <c r="G6" s="12">
        <f>_xlfn.XLOOKUP(A6,tblBudget[Month],tblBudget[Budget_Operating_Expenses])</f>
        <v>41500</v>
      </c>
      <c r="H6" s="12">
        <f t="shared" si="2"/>
        <v>3100</v>
      </c>
      <c r="I6" s="12">
        <f t="shared" si="3"/>
        <v>7.4698795180722893E-2</v>
      </c>
      <c r="J6" s="12">
        <f>_xlfn.XLOOKUP(A6,Monthly_Summary!A:A,Monthly_Summary!G:G)</f>
        <v>-39868</v>
      </c>
      <c r="K6" s="12">
        <f>_xlfn.XLOOKUP(A6,tblBudget[Month],tblBudget[Budget_EBITDA])</f>
        <v>-37500</v>
      </c>
      <c r="L6" s="12">
        <f t="shared" si="4"/>
        <v>-2368</v>
      </c>
      <c r="M6" s="5">
        <f t="shared" si="5"/>
        <v>-6.314666666666667E-2</v>
      </c>
    </row>
    <row r="7" spans="1:13" ht="15" thickBot="1" x14ac:dyDescent="0.35">
      <c r="A7" s="13">
        <v>45444</v>
      </c>
      <c r="B7" s="14">
        <f>_xlfn.XLOOKUP(A7,Monthly_Summary!A:A,Monthly_Summary!B:B)</f>
        <v>9531</v>
      </c>
      <c r="C7" s="14">
        <f>_xlfn.XLOOKUP(A7,tblBudget[Month],tblBudget[Budget_Total_Revenue])</f>
        <v>7000</v>
      </c>
      <c r="D7" s="14">
        <f t="shared" si="0"/>
        <v>2531</v>
      </c>
      <c r="E7" s="14">
        <f t="shared" si="1"/>
        <v>0.3615714285714286</v>
      </c>
      <c r="F7" s="14">
        <f>_xlfn.XLOOKUP(A7,Monthly_Summary!A:A,Monthly_Summary!C:C)</f>
        <v>43750</v>
      </c>
      <c r="G7" s="14">
        <f>_xlfn.XLOOKUP(A7,tblBudget[Month],tblBudget[Budget_Operating_Expenses])</f>
        <v>42100</v>
      </c>
      <c r="H7" s="14">
        <f t="shared" si="2"/>
        <v>1650</v>
      </c>
      <c r="I7" s="14">
        <f t="shared" si="3"/>
        <v>3.9192399049881234E-2</v>
      </c>
      <c r="J7" s="14">
        <f>_xlfn.XLOOKUP(A7,Monthly_Summary!A:A,Monthly_Summary!G:G)</f>
        <v>-37554.85</v>
      </c>
      <c r="K7" s="14">
        <f>_xlfn.XLOOKUP(A7,tblBudget[Month],tblBudget[Budget_EBITDA])</f>
        <v>-37300</v>
      </c>
      <c r="L7" s="14">
        <f t="shared" si="4"/>
        <v>-254.84999999999854</v>
      </c>
      <c r="M7" s="6">
        <f t="shared" si="5"/>
        <v>-6.8324396782841433E-3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68941-5922-4998-A1A3-9739BD25EFD8}">
  <dimension ref="A1:G8"/>
  <sheetViews>
    <sheetView workbookViewId="0">
      <selection activeCell="B9" sqref="B9"/>
    </sheetView>
  </sheetViews>
  <sheetFormatPr defaultRowHeight="14.4" x14ac:dyDescent="0.3"/>
  <cols>
    <col min="1" max="1" width="16.88671875" bestFit="1" customWidth="1"/>
    <col min="2" max="7" width="11.77734375" bestFit="1" customWidth="1"/>
  </cols>
  <sheetData>
    <row r="1" spans="1:7" ht="15" thickBot="1" x14ac:dyDescent="0.35">
      <c r="A1" s="8" t="s">
        <v>84</v>
      </c>
      <c r="B1" s="23">
        <v>45292</v>
      </c>
      <c r="C1" s="23">
        <v>45323</v>
      </c>
      <c r="D1" s="23">
        <v>45352</v>
      </c>
      <c r="E1" s="23">
        <v>45383</v>
      </c>
      <c r="F1" s="23">
        <v>45413</v>
      </c>
      <c r="G1" s="24">
        <v>45444</v>
      </c>
    </row>
    <row r="2" spans="1:7" x14ac:dyDescent="0.3">
      <c r="A2" s="15" t="s">
        <v>85</v>
      </c>
      <c r="B2" s="16">
        <f>_xlfn.XLOOKUP(B$1,Monthly_Summary!$A:$A,Monthly_Summary!$B:$B)</f>
        <v>4187</v>
      </c>
      <c r="C2" s="16">
        <f>_xlfn.XLOOKUP(C$1,Monthly_Summary!$A:$A,Monthly_Summary!$B:$B)</f>
        <v>3052</v>
      </c>
      <c r="D2" s="16">
        <f>_xlfn.XLOOKUP(D$1,Monthly_Summary!$A:$A,Monthly_Summary!$B:$B)</f>
        <v>4358</v>
      </c>
      <c r="E2" s="16">
        <f>_xlfn.XLOOKUP(E$1,Monthly_Summary!$A:$A,Monthly_Summary!$B:$B)</f>
        <v>6583</v>
      </c>
      <c r="F2" s="16">
        <f>_xlfn.XLOOKUP(F$1,Monthly_Summary!$A:$A,Monthly_Summary!$B:$B)</f>
        <v>7280</v>
      </c>
      <c r="G2" s="17">
        <f>_xlfn.XLOOKUP(G$1,Monthly_Summary!$A:$A,Monthly_Summary!$B:$B)</f>
        <v>9531</v>
      </c>
    </row>
    <row r="3" spans="1:7" x14ac:dyDescent="0.3">
      <c r="A3" s="15" t="s">
        <v>86</v>
      </c>
      <c r="B3" s="16">
        <f>_xlfn.XLOOKUP(B$1,Monthly_Summary!$A:$A,Monthly_Summary!$D:$D)</f>
        <v>1465.4499999999998</v>
      </c>
      <c r="C3" s="16">
        <f>_xlfn.XLOOKUP(C$1,Monthly_Summary!$A:$A,Monthly_Summary!$D:$D)</f>
        <v>1068.2</v>
      </c>
      <c r="D3" s="16">
        <f>_xlfn.XLOOKUP(D$1,Monthly_Summary!$A:$A,Monthly_Summary!$D:$D)</f>
        <v>1525.3</v>
      </c>
      <c r="E3" s="16">
        <f>_xlfn.XLOOKUP(E$1,Monthly_Summary!$A:$A,Monthly_Summary!$D:$D)</f>
        <v>2304.0499999999997</v>
      </c>
      <c r="F3" s="16">
        <f>_xlfn.XLOOKUP(F$1,Monthly_Summary!$A:$A,Monthly_Summary!$D:$D)</f>
        <v>2548</v>
      </c>
      <c r="G3" s="17">
        <f>_xlfn.XLOOKUP(G$1,Monthly_Summary!$A:$A,Monthly_Summary!$D:$D)</f>
        <v>3335.85</v>
      </c>
    </row>
    <row r="4" spans="1:7" x14ac:dyDescent="0.3">
      <c r="A4" s="15" t="s">
        <v>87</v>
      </c>
      <c r="B4" s="16">
        <f>B2-B3</f>
        <v>2721.55</v>
      </c>
      <c r="C4" s="16">
        <f t="shared" ref="C4:G4" si="0">C2-C3</f>
        <v>1983.8</v>
      </c>
      <c r="D4" s="16">
        <f t="shared" si="0"/>
        <v>2832.7</v>
      </c>
      <c r="E4" s="16">
        <f t="shared" si="0"/>
        <v>4278.9500000000007</v>
      </c>
      <c r="F4" s="16">
        <f t="shared" si="0"/>
        <v>4732</v>
      </c>
      <c r="G4" s="17">
        <f t="shared" si="0"/>
        <v>6195.15</v>
      </c>
    </row>
    <row r="5" spans="1:7" x14ac:dyDescent="0.3">
      <c r="A5" s="15" t="s">
        <v>88</v>
      </c>
      <c r="B5" s="18">
        <f>B4/B2</f>
        <v>0.65</v>
      </c>
      <c r="C5" s="18">
        <f t="shared" ref="C5:G5" si="1">C4/C2</f>
        <v>0.65</v>
      </c>
      <c r="D5" s="18">
        <f t="shared" si="1"/>
        <v>0.64999999999999991</v>
      </c>
      <c r="E5" s="18">
        <f t="shared" si="1"/>
        <v>0.65000000000000013</v>
      </c>
      <c r="F5" s="18">
        <f t="shared" si="1"/>
        <v>0.65</v>
      </c>
      <c r="G5" s="19">
        <f t="shared" si="1"/>
        <v>0.64999999999999991</v>
      </c>
    </row>
    <row r="6" spans="1:7" x14ac:dyDescent="0.3">
      <c r="A6" s="15" t="s">
        <v>89</v>
      </c>
      <c r="B6" s="16">
        <f>_xlfn.XLOOKUP(B$1,Monthly_Summary!$A:$A,Monthly_Summary!$C:$C)</f>
        <v>37850</v>
      </c>
      <c r="C6" s="16">
        <f>_xlfn.XLOOKUP(C$1,Monthly_Summary!$A:$A,Monthly_Summary!$C:$C)</f>
        <v>38000</v>
      </c>
      <c r="D6" s="16">
        <f>_xlfn.XLOOKUP(D$1,Monthly_Summary!$A:$A,Monthly_Summary!$C:$C)</f>
        <v>39250</v>
      </c>
      <c r="E6" s="16">
        <f>_xlfn.XLOOKUP(E$1,Monthly_Summary!$A:$A,Monthly_Summary!$C:$C)</f>
        <v>41550</v>
      </c>
      <c r="F6" s="16">
        <f>_xlfn.XLOOKUP(F$1,Monthly_Summary!$A:$A,Monthly_Summary!$C:$C)</f>
        <v>44600</v>
      </c>
      <c r="G6" s="17">
        <f>_xlfn.XLOOKUP(G$1,Monthly_Summary!$A:$A,Monthly_Summary!$C:$C)</f>
        <v>43750</v>
      </c>
    </row>
    <row r="7" spans="1:7" x14ac:dyDescent="0.3">
      <c r="A7" s="15" t="s">
        <v>74</v>
      </c>
      <c r="B7" s="16">
        <f>B4-B6</f>
        <v>-35128.449999999997</v>
      </c>
      <c r="C7" s="16">
        <f t="shared" ref="C7:G7" si="2">C4-C6</f>
        <v>-36016.199999999997</v>
      </c>
      <c r="D7" s="16">
        <f t="shared" si="2"/>
        <v>-36417.300000000003</v>
      </c>
      <c r="E7" s="16">
        <f t="shared" si="2"/>
        <v>-37271.050000000003</v>
      </c>
      <c r="F7" s="16">
        <f t="shared" si="2"/>
        <v>-39868</v>
      </c>
      <c r="G7" s="17">
        <f t="shared" si="2"/>
        <v>-37554.85</v>
      </c>
    </row>
    <row r="8" spans="1:7" ht="15" thickBot="1" x14ac:dyDescent="0.35">
      <c r="A8" s="20" t="s">
        <v>90</v>
      </c>
      <c r="B8" s="21">
        <f>B7/B2</f>
        <v>-8.3898853594459037</v>
      </c>
      <c r="C8" s="21">
        <f t="shared" ref="C8:G8" si="3">C7/C2</f>
        <v>-11.800851900393184</v>
      </c>
      <c r="D8" s="21">
        <f t="shared" si="3"/>
        <v>-8.3564249655805423</v>
      </c>
      <c r="E8" s="21">
        <f t="shared" si="3"/>
        <v>-5.6617119854169839</v>
      </c>
      <c r="F8" s="21">
        <f t="shared" si="3"/>
        <v>-5.4763736263736265</v>
      </c>
      <c r="G8" s="22">
        <f t="shared" si="3"/>
        <v>-3.9402843353268282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D2E8-40F6-4197-AAD3-710B21D4A8A2}">
  <dimension ref="A1:K12"/>
  <sheetViews>
    <sheetView tabSelected="1" workbookViewId="0">
      <selection activeCell="B14" sqref="B14"/>
    </sheetView>
  </sheetViews>
  <sheetFormatPr defaultRowHeight="14.4" x14ac:dyDescent="0.3"/>
  <cols>
    <col min="1" max="1" width="14.21875" bestFit="1" customWidth="1"/>
    <col min="2" max="2" width="14.6640625" bestFit="1" customWidth="1"/>
    <col min="3" max="3" width="10.33203125" bestFit="1" customWidth="1"/>
    <col min="4" max="4" width="11.44140625" bestFit="1" customWidth="1"/>
    <col min="5" max="5" width="14.5546875" customWidth="1"/>
    <col min="6" max="6" width="15.88671875" bestFit="1" customWidth="1"/>
    <col min="7" max="7" width="14.77734375" bestFit="1" customWidth="1"/>
  </cols>
  <sheetData>
    <row r="1" spans="1:11" ht="21.6" thickBot="1" x14ac:dyDescent="0.45">
      <c r="A1" s="56" t="s">
        <v>91</v>
      </c>
      <c r="B1" s="57"/>
      <c r="C1" s="57"/>
      <c r="D1" s="57"/>
      <c r="E1" s="57"/>
      <c r="F1" s="57"/>
      <c r="G1" s="58"/>
    </row>
    <row r="2" spans="1:11" ht="15" thickBot="1" x14ac:dyDescent="0.35"/>
    <row r="3" spans="1:11" ht="15" thickBot="1" x14ac:dyDescent="0.35">
      <c r="A3" s="8" t="s">
        <v>59</v>
      </c>
      <c r="B3" s="9" t="s">
        <v>92</v>
      </c>
      <c r="C3" s="9" t="s">
        <v>48</v>
      </c>
      <c r="D3" s="9" t="s">
        <v>63</v>
      </c>
      <c r="E3" s="25" t="s">
        <v>64</v>
      </c>
      <c r="F3" s="9" t="s">
        <v>93</v>
      </c>
      <c r="G3" s="10" t="s">
        <v>94</v>
      </c>
    </row>
    <row r="4" spans="1:11" x14ac:dyDescent="0.3">
      <c r="A4" s="15" t="s">
        <v>66</v>
      </c>
      <c r="B4" s="18">
        <f>_xlfn.XLOOKUP(A4,tblScenarios[Scenario],tblScenarios[Customer_Growth_Rate])</f>
        <v>0.08</v>
      </c>
      <c r="C4" s="18">
        <f>_xlfn.XLOOKUP(A4,tblScenarios[Scenario],tblScenarios[Churn_Rate])</f>
        <v>0.04</v>
      </c>
      <c r="D4" s="18">
        <f>_xlfn.XLOOKUP(A4,tblScenarios[Scenario],tblScenarios[CAC_Change])</f>
        <v>0.05</v>
      </c>
      <c r="E4" s="59">
        <f>_xlfn.XLOOKUP(A4,tblScenarios[Scenario],tblScenarios[Payroll_Inflation])</f>
        <v>0.04</v>
      </c>
      <c r="F4" s="16">
        <f>_xlfn.XLOOKUP(DATE(2024,6,1),Monthly_Summary!$A:$A,Monthly_Summary!$B:$B)*(1+B4)</f>
        <v>10293.480000000001</v>
      </c>
      <c r="G4" s="17">
        <f>_xlfn.XLOOKUP(DATE(2024,6,1),Monthly_Summary!$A:$A,Monthly_Summary!$G:$G)+((F4-_xlfn.XLOOKUP(DATE(2024,6,1),Monthly_Summary!$A:$A,Monthly_Summary!$B:$B))*65%)-(_xlfn.XLOOKUP(DATE(2024,6,1),Monthly_Summary!$A:$A,Monthly_Summary!$C:$C)*E4)</f>
        <v>-38809.237999999998</v>
      </c>
    </row>
    <row r="5" spans="1:11" x14ac:dyDescent="0.3">
      <c r="A5" s="15" t="s">
        <v>67</v>
      </c>
      <c r="B5" s="18">
        <f>_xlfn.XLOOKUP(A5,tblScenarios[Scenario],tblScenarios[Customer_Growth_Rate])</f>
        <v>0.12</v>
      </c>
      <c r="C5" s="18">
        <f>_xlfn.XLOOKUP(A5,tblScenarios[Scenario],tblScenarios[Churn_Rate])</f>
        <v>0.02</v>
      </c>
      <c r="D5" s="18">
        <f>_xlfn.XLOOKUP(A5,tblScenarios[Scenario],tblScenarios[CAC_Change])</f>
        <v>0</v>
      </c>
      <c r="E5" s="59">
        <f>_xlfn.XLOOKUP(A5,tblScenarios[Scenario],tblScenarios[Payroll_Inflation])</f>
        <v>0.03</v>
      </c>
      <c r="F5" s="16">
        <f>_xlfn.XLOOKUP(DATE(2024,6,1),Monthly_Summary!$A:$A,Monthly_Summary!$B:$B)*(1+B5)</f>
        <v>10674.720000000001</v>
      </c>
      <c r="G5" s="17">
        <f>_xlfn.XLOOKUP(DATE(2024,6,1),Monthly_Summary!$A:$A,Monthly_Summary!$G:$G)+((F5-_xlfn.XLOOKUP(DATE(2024,6,1),Monthly_Summary!$A:$A,Monthly_Summary!$B:$B))*65%)-(_xlfn.XLOOKUP(DATE(2024,6,1),Monthly_Summary!$A:$A,Monthly_Summary!$C:$C)*E5)</f>
        <v>-38123.932000000001</v>
      </c>
    </row>
    <row r="6" spans="1:11" ht="15" thickBot="1" x14ac:dyDescent="0.35">
      <c r="A6" s="20" t="s">
        <v>68</v>
      </c>
      <c r="B6" s="21">
        <f>_xlfn.XLOOKUP(A6,tblScenarios[Scenario],tblScenarios[Customer_Growth_Rate])</f>
        <v>0.04</v>
      </c>
      <c r="C6" s="21">
        <f>_xlfn.XLOOKUP(A6,tblScenarios[Scenario],tblScenarios[Churn_Rate])</f>
        <v>0.08</v>
      </c>
      <c r="D6" s="21">
        <f>_xlfn.XLOOKUP(A6,tblScenarios[Scenario],tblScenarios[CAC_Change])</f>
        <v>0.12</v>
      </c>
      <c r="E6" s="60">
        <f>_xlfn.XLOOKUP(A6,tblScenarios[Scenario],tblScenarios[Payroll_Inflation])</f>
        <v>0.06</v>
      </c>
      <c r="F6" s="27">
        <f>_xlfn.XLOOKUP(DATE(2024,6,1),Monthly_Summary!$A:$A,Monthly_Summary!$B:$B)*(1+B6)</f>
        <v>9912.24</v>
      </c>
      <c r="G6" s="28">
        <f>_xlfn.XLOOKUP(DATE(2024,6,1),Monthly_Summary!$A:$A,Monthly_Summary!$G:$G)+((F6-_xlfn.XLOOKUP(DATE(2024,6,1),Monthly_Summary!$A:$A,Monthly_Summary!$B:$B))*65%)-(_xlfn.XLOOKUP(DATE(2024,6,1),Monthly_Summary!$A:$A,Monthly_Summary!$C:$C)*E6)</f>
        <v>-39932.044000000002</v>
      </c>
    </row>
    <row r="8" spans="1:11" ht="15" thickBot="1" x14ac:dyDescent="0.35"/>
    <row r="9" spans="1:11" ht="15" thickBot="1" x14ac:dyDescent="0.35">
      <c r="A9" s="63" t="s">
        <v>95</v>
      </c>
      <c r="B9" s="32"/>
      <c r="C9" s="33"/>
    </row>
    <row r="10" spans="1:11" ht="15" thickBot="1" x14ac:dyDescent="0.35">
      <c r="A10" s="64" t="s">
        <v>96</v>
      </c>
      <c r="B10" s="29" t="s">
        <v>97</v>
      </c>
      <c r="C10" s="29"/>
      <c r="D10" s="29"/>
      <c r="E10" s="29"/>
      <c r="F10" s="29"/>
      <c r="G10" s="29"/>
      <c r="H10" s="29"/>
      <c r="I10" s="29"/>
      <c r="J10" s="29"/>
      <c r="K10" s="30"/>
    </row>
    <row r="11" spans="1:11" ht="15" thickBot="1" x14ac:dyDescent="0.35">
      <c r="A11" s="64" t="s">
        <v>98</v>
      </c>
      <c r="B11" s="29" t="s">
        <v>99</v>
      </c>
      <c r="C11" s="29"/>
      <c r="D11" s="29"/>
      <c r="E11" s="29"/>
      <c r="F11" s="29"/>
      <c r="G11" s="29"/>
      <c r="H11" s="30"/>
      <c r="I11" s="3"/>
      <c r="J11" s="3"/>
      <c r="K11" s="3"/>
    </row>
    <row r="12" spans="1:11" ht="15" thickBot="1" x14ac:dyDescent="0.35">
      <c r="A12" s="64" t="s">
        <v>100</v>
      </c>
      <c r="B12" s="29" t="s">
        <v>101</v>
      </c>
      <c r="C12" s="29"/>
      <c r="D12" s="29"/>
      <c r="E12" s="29"/>
      <c r="F12" s="29"/>
      <c r="G12" s="29"/>
      <c r="H12" s="29"/>
      <c r="I12" s="29"/>
      <c r="J12" s="29"/>
      <c r="K12" s="30"/>
    </row>
  </sheetData>
  <mergeCells count="5">
    <mergeCell ref="A1:G1"/>
    <mergeCell ref="A9:C9"/>
    <mergeCell ref="B10:K10"/>
    <mergeCell ref="B11:H11"/>
    <mergeCell ref="B12:K1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E1A8A-5F44-4B14-95F9-EFF78B00AB1D}">
  <dimension ref="A1:E28"/>
  <sheetViews>
    <sheetView workbookViewId="0">
      <selection activeCell="E6" sqref="E6:E8"/>
    </sheetView>
  </sheetViews>
  <sheetFormatPr defaultRowHeight="14.4" x14ac:dyDescent="0.3"/>
  <cols>
    <col min="1" max="1" width="24.109375" customWidth="1"/>
    <col min="2" max="2" width="11.5546875" bestFit="1" customWidth="1"/>
    <col min="5" max="5" width="11.21875" bestFit="1" customWidth="1"/>
  </cols>
  <sheetData>
    <row r="1" spans="1:5" ht="21" x14ac:dyDescent="0.4">
      <c r="A1" s="34" t="s">
        <v>102</v>
      </c>
      <c r="B1" s="34"/>
      <c r="C1" s="34"/>
      <c r="D1" s="34"/>
      <c r="E1" s="34"/>
    </row>
    <row r="2" spans="1:5" ht="15" thickBot="1" x14ac:dyDescent="0.35"/>
    <row r="3" spans="1:5" ht="15" thickBot="1" x14ac:dyDescent="0.35">
      <c r="A3" s="35" t="s">
        <v>103</v>
      </c>
      <c r="B3" s="24">
        <v>45444</v>
      </c>
    </row>
    <row r="4" spans="1:5" ht="15" thickBot="1" x14ac:dyDescent="0.35"/>
    <row r="5" spans="1:5" ht="15" thickBot="1" x14ac:dyDescent="0.35">
      <c r="A5" s="31" t="s">
        <v>104</v>
      </c>
      <c r="D5" s="45" t="s">
        <v>110</v>
      </c>
      <c r="E5" s="46"/>
    </row>
    <row r="6" spans="1:5" ht="57.6" x14ac:dyDescent="0.3">
      <c r="A6" s="37" t="s">
        <v>105</v>
      </c>
      <c r="B6" s="47">
        <f>_xlfn.XLOOKUP(DATE(2024,6,1),Monthly_Summary!$A:$A,Monthly_Summary!$B:$B)</f>
        <v>9531</v>
      </c>
      <c r="C6" s="4"/>
      <c r="D6" s="44" t="s">
        <v>111</v>
      </c>
      <c r="E6" s="61">
        <f>_xlfn.XLOOKUP("Base Case",Scenario_Analysis!$A:$A,Scenario_Analysis!$F:$F)</f>
        <v>10293.480000000001</v>
      </c>
    </row>
    <row r="7" spans="1:5" ht="57.6" x14ac:dyDescent="0.3">
      <c r="A7" s="38" t="s">
        <v>106</v>
      </c>
      <c r="B7" s="39">
        <f>_xlfn.XLOOKUP(DATE(2024,6,1),Monthly_Summary!$A:$A,Monthly_Summary!$F:$F)</f>
        <v>0.64999999999999991</v>
      </c>
      <c r="C7" s="2"/>
      <c r="D7" s="36" t="s">
        <v>112</v>
      </c>
      <c r="E7" s="62">
        <f>_xlfn.XLOOKUP("Upside Case",Scenario_Analysis!$A:$A,Scenario_Analysis!$F:$F)</f>
        <v>10674.720000000001</v>
      </c>
    </row>
    <row r="8" spans="1:5" ht="57.6" x14ac:dyDescent="0.3">
      <c r="A8" s="38" t="s">
        <v>89</v>
      </c>
      <c r="B8" s="40">
        <f>_xlfn.XLOOKUP(DATE(2024,6,1),Monthly_Summary!$A:$A,Monthly_Summary!$C:$C)</f>
        <v>43750</v>
      </c>
      <c r="C8" s="2"/>
      <c r="D8" s="36" t="s">
        <v>113</v>
      </c>
      <c r="E8" s="62">
        <f>_xlfn.XLOOKUP("Downside Case",Scenario_Analysis!$A:$A,Scenario_Analysis!$F:$F)</f>
        <v>9912.24</v>
      </c>
    </row>
    <row r="9" spans="1:5" x14ac:dyDescent="0.3">
      <c r="A9" s="38" t="s">
        <v>74</v>
      </c>
      <c r="B9" s="40">
        <f>_xlfn.XLOOKUP(DATE(2024,6,1),Monthly_Summary!$A:$A,Monthly_Summary!$G:$G)</f>
        <v>-37554.85</v>
      </c>
      <c r="C9" s="2"/>
      <c r="D9" s="2"/>
    </row>
    <row r="10" spans="1:5" x14ac:dyDescent="0.3">
      <c r="A10" s="38" t="s">
        <v>107</v>
      </c>
      <c r="B10" s="39">
        <f>_xlfn.XLOOKUP(DATE(2024,6,1),Monthly_Summary!$A:$A,Monthly_Summary!$H:$H)</f>
        <v>-3.9402843353268282</v>
      </c>
    </row>
    <row r="11" spans="1:5" x14ac:dyDescent="0.3">
      <c r="A11" s="38" t="s">
        <v>108</v>
      </c>
      <c r="B11" s="41">
        <f>_xlfn.XLOOKUP(DATE(2024,6,1),Monthly_Summary!$A:$A,Monthly_Summary!$I:$I)</f>
        <v>5</v>
      </c>
    </row>
    <row r="12" spans="1:5" x14ac:dyDescent="0.3">
      <c r="A12" s="38" t="s">
        <v>109</v>
      </c>
      <c r="B12" s="39">
        <f>_xlfn.XLOOKUP(DATE(2024,6,1),Monthly_Summary!$A:$A,Monthly_Summary!$J:$J)</f>
        <v>0.2</v>
      </c>
    </row>
    <row r="13" spans="1:5" ht="15" thickBot="1" x14ac:dyDescent="0.35">
      <c r="A13" s="42" t="s">
        <v>50</v>
      </c>
      <c r="B13" s="43">
        <f>_xlfn.XLOOKUP(DATE(2024,6,1),Monthly_Summary!$A:$A,Monthly_Summary!$K:$K)</f>
        <v>10800</v>
      </c>
    </row>
    <row r="14" spans="1:5" x14ac:dyDescent="0.3">
      <c r="A14" s="2"/>
      <c r="B14" s="2"/>
    </row>
    <row r="15" spans="1:5" ht="15" thickBot="1" x14ac:dyDescent="0.35"/>
    <row r="16" spans="1:5" ht="15.6" x14ac:dyDescent="0.3">
      <c r="A16" s="49" t="s">
        <v>114</v>
      </c>
      <c r="B16" s="50"/>
    </row>
    <row r="17" spans="1:3" ht="57.6" customHeight="1" x14ac:dyDescent="0.3">
      <c r="A17" s="51" t="s">
        <v>115</v>
      </c>
      <c r="B17" s="52"/>
      <c r="C17" s="26"/>
    </row>
    <row r="18" spans="1:3" ht="43.2" customHeight="1" x14ac:dyDescent="0.3">
      <c r="A18" s="51" t="s">
        <v>116</v>
      </c>
      <c r="B18" s="52"/>
    </row>
    <row r="19" spans="1:3" ht="43.2" customHeight="1" x14ac:dyDescent="0.3">
      <c r="A19" s="51" t="s">
        <v>117</v>
      </c>
      <c r="B19" s="52"/>
    </row>
    <row r="20" spans="1:3" ht="72.599999999999994" customHeight="1" thickBot="1" x14ac:dyDescent="0.35">
      <c r="A20" s="53" t="s">
        <v>118</v>
      </c>
      <c r="B20" s="54"/>
    </row>
    <row r="21" spans="1:3" x14ac:dyDescent="0.3">
      <c r="A21" s="2"/>
      <c r="B21" s="2"/>
    </row>
    <row r="23" spans="1:3" x14ac:dyDescent="0.3">
      <c r="A23" s="55" t="s">
        <v>119</v>
      </c>
      <c r="B23" s="55"/>
    </row>
    <row r="24" spans="1:3" ht="43.2" customHeight="1" x14ac:dyDescent="0.3">
      <c r="A24" s="48" t="s">
        <v>120</v>
      </c>
      <c r="B24" s="48"/>
    </row>
    <row r="25" spans="1:3" ht="57.6" customHeight="1" x14ac:dyDescent="0.3">
      <c r="A25" s="48" t="s">
        <v>121</v>
      </c>
      <c r="B25" s="48"/>
    </row>
    <row r="26" spans="1:3" ht="57.6" customHeight="1" x14ac:dyDescent="0.3">
      <c r="A26" s="48" t="s">
        <v>122</v>
      </c>
      <c r="B26" s="48"/>
    </row>
    <row r="27" spans="1:3" ht="43.2" customHeight="1" x14ac:dyDescent="0.3">
      <c r="A27" s="48" t="s">
        <v>123</v>
      </c>
      <c r="B27" s="48"/>
    </row>
    <row r="28" spans="1:3" x14ac:dyDescent="0.3">
      <c r="A28" s="2"/>
      <c r="B28" s="2"/>
    </row>
  </sheetData>
  <mergeCells count="12">
    <mergeCell ref="A26:B26"/>
    <mergeCell ref="A27:B27"/>
    <mergeCell ref="A23:B23"/>
    <mergeCell ref="A20:B20"/>
    <mergeCell ref="A17:B17"/>
    <mergeCell ref="A16:B16"/>
    <mergeCell ref="A24:B24"/>
    <mergeCell ref="A25:B25"/>
    <mergeCell ref="A1:E1"/>
    <mergeCell ref="D5:E5"/>
    <mergeCell ref="A18:B18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Revenue_Data</vt:lpstr>
      <vt:lpstr>Expense_Data</vt:lpstr>
      <vt:lpstr>Budget_Data</vt:lpstr>
      <vt:lpstr>KPI_Data</vt:lpstr>
      <vt:lpstr>Scenario_Inputs</vt:lpstr>
      <vt:lpstr>Monthly_Summary</vt:lpstr>
      <vt:lpstr>Budget_vs_Actual</vt:lpstr>
      <vt:lpstr>P&amp;L_Model</vt:lpstr>
      <vt:lpstr>Scenario_Analysis</vt:lpstr>
      <vt:lpstr>CFO_Summary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Pawar, Srushti Mahant</dc:creator>
  <cp:lastModifiedBy>Pawar, Srushti Mahant</cp:lastModifiedBy>
  <dcterms:created xsi:type="dcterms:W3CDTF">2026-05-19T12:26:03Z</dcterms:created>
  <dcterms:modified xsi:type="dcterms:W3CDTF">2026-05-20T00:06:28Z</dcterms:modified>
</cp:coreProperties>
</file>